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atil\OneDrive\Documents\ALL_EXCEL-PROJECT\"/>
    </mc:Choice>
  </mc:AlternateContent>
  <xr:revisionPtr revIDLastSave="0" documentId="13_ncr:1_{ED2B9AB0-6075-4AA8-9997-0CB398A90461}" xr6:coauthVersionLast="47" xr6:coauthVersionMax="47" xr10:uidLastSave="{00000000-0000-0000-0000-000000000000}"/>
  <bookViews>
    <workbookView xWindow="-120" yWindow="-120" windowWidth="29040" windowHeight="15720" tabRatio="869" xr2:uid="{2D01E97E-475C-4E7B-B2D8-8AA0BE6B60B2}"/>
  </bookViews>
  <sheets>
    <sheet name="DASHBOARD" sheetId="23" r:id="rId1"/>
    <sheet name="ANALYZER_DATA" sheetId="1" r:id="rId2"/>
    <sheet name="MONTHLY SALES GROWTH" sheetId="19" r:id="rId3"/>
    <sheet name="Descriptive Statistics" sheetId="11" r:id="rId4"/>
    <sheet name="Regression Statistics" sheetId="9" r:id="rId5"/>
    <sheet name="REGION &amp; PRODUCT SALES" sheetId="16" r:id="rId6"/>
    <sheet name="REGION PERFORMANCE" sheetId="17" r:id="rId7"/>
    <sheet name="PRODUCT PERFORMANCE" sheetId="18" r:id="rId8"/>
    <sheet name="PIVOT TABLES" sheetId="20" r:id="rId9"/>
  </sheets>
  <definedNames>
    <definedName name="NativeTimeline_ORDER_DATE">#N/A</definedName>
    <definedName name="Slicer_PRODUCT_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15" i="23" l="1"/>
  <c r="T31" i="23"/>
  <c r="T22" i="23"/>
  <c r="T28" i="23"/>
  <c r="T19" i="23"/>
  <c r="U14" i="23"/>
  <c r="B3" i="19" l="1" a="1"/>
  <c r="B3" i="19" s="1"/>
  <c r="B4" i="19" a="1"/>
  <c r="B4" i="19" s="1"/>
  <c r="B5" i="19" a="1"/>
  <c r="B5" i="19" s="1"/>
  <c r="B6" i="19" a="1"/>
  <c r="B6" i="19" s="1"/>
  <c r="B7" i="19" a="1"/>
  <c r="B7" i="19" s="1"/>
  <c r="B8" i="19" a="1"/>
  <c r="B8" i="19" s="1"/>
  <c r="C7" i="19" s="1"/>
  <c r="B9" i="19" a="1"/>
  <c r="B9" i="19" s="1"/>
  <c r="B10" i="19" a="1"/>
  <c r="B10" i="19" s="1"/>
  <c r="B11" i="19" a="1"/>
  <c r="B11" i="19" s="1"/>
  <c r="B12" i="19" a="1"/>
  <c r="B12" i="19" s="1"/>
  <c r="C11" i="19" s="1"/>
  <c r="B13" i="19" a="1"/>
  <c r="B13" i="19" s="1"/>
  <c r="C12" i="19" s="1"/>
  <c r="B2" i="19" a="1"/>
  <c r="B2" i="19" s="1"/>
  <c r="C3" i="19" l="1"/>
  <c r="C9" i="19"/>
  <c r="C5" i="19"/>
  <c r="C13" i="19"/>
  <c r="C10" i="19"/>
  <c r="C2" i="19"/>
  <c r="C8" i="19"/>
  <c r="C4" i="19"/>
  <c r="C6" i="19"/>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M21" i="1" l="1" a="1"/>
  <c r="M21" i="1" s="1"/>
  <c r="O15" i="1"/>
  <c r="O9" i="1"/>
  <c r="O11" i="1"/>
  <c r="O16" i="1"/>
  <c r="O10" i="1"/>
  <c r="O12" i="1"/>
  <c r="O7" i="1"/>
  <c r="M7" i="1" s="1"/>
  <c r="O14" i="1"/>
  <c r="O8" i="1"/>
  <c r="O13" i="1"/>
  <c r="N7" i="1" l="1"/>
  <c r="N10" i="1" l="1"/>
  <c r="M10" i="1"/>
  <c r="M8" i="1"/>
  <c r="N8" i="1"/>
  <c r="M12" i="1"/>
  <c r="N12" i="1"/>
  <c r="N11" i="1"/>
  <c r="M11" i="1"/>
  <c r="M9" i="1"/>
  <c r="N9" i="1"/>
  <c r="N15" i="1"/>
  <c r="M15" i="1"/>
  <c r="N14" i="1"/>
  <c r="M14" i="1"/>
  <c r="N13" i="1"/>
  <c r="M13" i="1"/>
  <c r="M16" i="1"/>
  <c r="N1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<sst xmlns="http://schemas.openxmlformats.org/spreadsheetml/2006/main" count="995" uniqueCount="157">
  <si>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</si>
  <si>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</si>
  <si>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</si>
  <si>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</si>
  <si>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</si>
  <si>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</si>
  <si>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</si>
  <si>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</si>
  <si>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</si>
  <si>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</si>
  <si>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</si>
  <si>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</si>
  <si>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</si>
  <si>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</si>
  <si>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</si>
  <si>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</si>
  <si>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</si>
  <si>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</si>
  <si>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</si>
  <si>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</si>
  <si>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</si>
  <si>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</si>
  <si>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</si>
  <si>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</si>
  <si>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</si>
  <si>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</si>
  <si>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</si>
  <si>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</si>
  <si>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</si>
  <si>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</si>
  <si>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</si>
  <si>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</si>
  <si>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</si>
  <si>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</si>
  <si>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</si>
  <si>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</si>
  <si>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</si>
  <si>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</si>
  <si>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</si>
  <si>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</si>
  <si>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</si>
  <si>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</si>
  <si>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</si>
  <si>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</si>
  <si>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</si>
  <si>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</si>
  <si>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</si>
  <si>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</si>
  <si>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</si>
  <si>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</si>
  <si>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</si>
  <si>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</si>
  <si>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</si>
  <si>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</si>
  <si>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</si>
  <si>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</si>
  <si>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</si>
  <si>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</si>
  <si>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</si>
  <si>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</si>
  <si>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</si>
  <si>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</si>
  <si>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</si>
  <si>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</si>
  <si>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</si>
  <si>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</si>
  <si>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</si>
  <si>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CUSTOMER_ID</t>
  </si>
  <si>
    <t>CUSTOMER_NAME</t>
  </si>
  <si>
    <t>REGION</t>
  </si>
  <si>
    <t>PRODUCT_CATEGORY</t>
  </si>
  <si>
    <t>SALES</t>
  </si>
  <si>
    <t>QUANTITY</t>
  </si>
  <si>
    <t>DISCOUNT</t>
  </si>
  <si>
    <t>ORDER_DATE</t>
  </si>
  <si>
    <t>PROFIT</t>
  </si>
  <si>
    <t>TOTAL_PURCHASE</t>
  </si>
  <si>
    <t>TIMESTAMP</t>
  </si>
  <si>
    <t>CUSTOMER NAME</t>
  </si>
  <si>
    <t>TOP 10 CUSTOMER</t>
  </si>
  <si>
    <t>CUSTOMER ID</t>
  </si>
  <si>
    <t>TOTAL  PURCHASE</t>
  </si>
  <si>
    <t>Mean</t>
  </si>
  <si>
    <t>Standard Error</t>
  </si>
  <si>
    <t>Median</t>
  </si>
  <si>
    <t>Mode</t>
  </si>
  <si>
    <t>Standard Deviation</t>
  </si>
  <si>
    <t>Sample Variance</t>
  </si>
  <si>
    <t>Kurtosis</t>
  </si>
  <si>
    <t>Skewness</t>
  </si>
  <si>
    <t>Range</t>
  </si>
  <si>
    <t>Minimum</t>
  </si>
  <si>
    <t>Maximum</t>
  </si>
  <si>
    <t>Sum</t>
  </si>
  <si>
    <t>Count</t>
  </si>
  <si>
    <t>Descriptive Statistics</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</si>
  <si>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</si>
  <si>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</si>
  <si>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</si>
  <si>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</si>
  <si>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</si>
  <si>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</si>
  <si>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</si>
  <si>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</si>
  <si>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</si>
  <si>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</si>
  <si>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</si>
  <si>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</si>
  <si>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</si>
  <si>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</si>
  <si>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</si>
  <si>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</si>
  <si>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</si>
  <si>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</si>
  <si>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</si>
  <si>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</si>
  <si>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</si>
  <si>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</si>
  <si>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</si>
  <si>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</si>
  <si>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PRODUCT CATEGORY</t>
  </si>
  <si>
    <t>ORDER DATE</t>
  </si>
  <si>
    <t>TOTAL PURCHASE</t>
  </si>
  <si>
    <t>High-Value Customer</t>
  </si>
  <si>
    <t>Row Labels</t>
  </si>
  <si>
    <t>Grand Total</t>
  </si>
  <si>
    <t>Column Labels</t>
  </si>
  <si>
    <t>Sum of SALES</t>
  </si>
  <si>
    <t>MONTHLY SALES</t>
  </si>
  <si>
    <t>SALES GROWTH</t>
  </si>
  <si>
    <t>MONTHS</t>
  </si>
  <si>
    <t>REGION &amp; PRODUCT SALES</t>
  </si>
  <si>
    <t>REGION PERFORMANCE</t>
  </si>
  <si>
    <t>PRODUCT PERFORMANCE</t>
  </si>
  <si>
    <t>Apr</t>
  </si>
  <si>
    <t>May</t>
  </si>
  <si>
    <t>Jun</t>
  </si>
  <si>
    <t>Oct</t>
  </si>
  <si>
    <t>Nov</t>
  </si>
  <si>
    <t>Dec</t>
  </si>
  <si>
    <t>Jul</t>
  </si>
  <si>
    <t>Aug</t>
  </si>
  <si>
    <t>Sep</t>
  </si>
  <si>
    <t>Jan</t>
  </si>
  <si>
    <t>Feb</t>
  </si>
  <si>
    <t>Mar</t>
  </si>
  <si>
    <t>SALES PERFORMANCE DASHBOARD</t>
  </si>
  <si>
    <t>Analyze | Visualize | Grow</t>
  </si>
  <si>
    <t>Sum of PROFIT</t>
  </si>
  <si>
    <t>Sum of QUANTITY</t>
  </si>
  <si>
    <t>Sum of TOTAL_PURCHASE</t>
  </si>
  <si>
    <t>KPI_Sum of QUANTITY</t>
  </si>
  <si>
    <t>KPI_Sum of PROFIT</t>
  </si>
  <si>
    <t>TOP_CUSTOMERS</t>
  </si>
  <si>
    <t>KPI_TOP_CUSTOMER</t>
  </si>
  <si>
    <t>TOP PRODUCT</t>
  </si>
  <si>
    <t>KPI_TOP_PRODUCT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</si>
</sst>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yyyy\-mm\-dd;@"/>
    <numFmt numFmtId="166" formatCode="&quot;$&quot;#,##0.00"/>
  </numFmts>
  <fonts count="23" x14ac:knownFonts="1">
    <font>
      <sz val="11"/>
      <color theme="1"/>
      <name val="Aptos Narrow"/>
      <family val="2"/>
      <scheme val="minor"/>
    </font>
    <font>
      <sz val="8"/>
      <name val="Aptos Narrow"/>
      <family val="2"/>
      <scheme val="minor"/>
    </font>
    <font>
      <i/>
      <sz val="11"/>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b/>
      <sz val="11"/>
      <color theme="1"/>
      <name val="Aptos Narrow"/>
      <family val="2"/>
      <scheme val="minor"/>
    </font>
    <font>
      <sz val="11"/>
      <color theme="9" tint="-0.249977111117893"/>
      <name val="Aptos Narrow"/>
      <family val="2"/>
      <scheme val="minor"/>
    </font>
    <font>
      <sz val="11"/>
      <color rgb="FFC00000"/>
      <name val="Aptos Narrow"/>
      <family val="2"/>
      <scheme val="minor"/>
    </font>
    <font>
      <sz val="11"/>
      <color theme="5"/>
      <name val="Aptos Narrow"/>
      <family val="2"/>
      <scheme val="minor"/>
    </font>
    <font>
      <b/>
      <i/>
      <sz val="11"/>
      <name val="Aptos Narrow"/>
      <family val="2"/>
      <scheme val="minor"/>
    </font>
    <font>
      <i/>
      <sz val="11"/>
      <color theme="1"/>
      <name val="Aptos Narrow"/>
      <family val="2"/>
      <scheme val="minor"/>
    </font>
    <font>
      <i/>
      <sz val="20"/>
      <color theme="1"/>
      <name val="Aptos Narrow"/>
      <family val="2"/>
      <scheme val="minor"/>
    </font>
    <font>
      <sz val="20"/>
      <color rgb="FFFF0000"/>
      <name val="Aptos Narrow"/>
      <family val="2"/>
      <scheme val="minor"/>
    </font>
    <font>
      <b/>
      <sz val="11"/>
      <color rgb="FFFF0000"/>
      <name val="Aptos Narrow"/>
      <family val="2"/>
      <scheme val="minor"/>
    </font>
    <font>
      <b/>
      <sz val="12"/>
      <color theme="1"/>
      <name val="Aptos Narrow"/>
      <family val="2"/>
      <scheme val="minor"/>
    </font>
    <font>
      <sz val="11"/>
      <color theme="6"/>
      <name val="Aptos Narrow"/>
      <family val="2"/>
      <scheme val="minor"/>
    </font>
    <font>
      <b/>
      <sz val="12"/>
      <color theme="0"/>
      <name val="Aptos Narrow"/>
      <family val="2"/>
      <scheme val="minor"/>
    </font>
    <font>
      <b/>
      <sz val="1"/>
      <color rgb="FF1F1E38"/>
      <name val="Aptos Narrow"/>
      <family val="2"/>
      <scheme val="minor"/>
    </font>
    <font>
      <sz val="1"/>
      <color rgb="FF1F1E38"/>
      <name val="Aptos Narrow"/>
      <family val="2"/>
      <scheme val="minor"/>
    </font>
    <font>
      <sz val="11"/>
      <color rgb="FF1F1E38"/>
      <name val="Aptos Narrow"/>
      <family val="2"/>
      <scheme val="minor"/>
    </font>
    <font>
      <b/>
      <sz val="24"/>
      <color theme="0"/>
      <name val="Aptos Narrow"/>
      <family val="2"/>
      <scheme val="minor"/>
    </font>
    <font>
      <sz val="15"/>
      <color theme="0" tint="-0.1499984740745262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rgb="FF1F1E38"/>
        <bgColor indexed="64"/>
      </patternFill>
    </fill>
  </fills>
  <borders count="7">
    <border>
      <left/>
      <right/>
      <top/>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2" fontId="0" fillId="0" borderId="0" xfId="0" applyNumberFormat="1"/>
    <xf numFmtId="164" fontId="0" fillId="0" borderId="0" xfId="0" applyNumberFormat="1"/>
    <xf numFmtId="1" fontId="0" fillId="0" borderId="0" xfId="0" applyNumberFormat="1"/>
    <xf numFmtId="9" fontId="0" fillId="0" borderId="0" xfId="0" applyNumberFormat="1"/>
    <xf numFmtId="165" fontId="0" fillId="0" borderId="0" xfId="0" applyNumberFormat="1"/>
    <xf numFmtId="2" fontId="2" fillId="2" borderId="1" xfId="0" applyNumberFormat="1" applyFont="1" applyFill="1" applyBorder="1" applyAlignment="1">
      <alignment horizontal="center" wrapText="1"/>
    </xf>
    <xf numFmtId="0" fontId="2" fillId="2" borderId="1" xfId="0" applyFont="1" applyFill="1" applyBorder="1" applyAlignment="1">
      <alignment horizontal="center" wrapText="1"/>
    </xf>
    <xf numFmtId="1" fontId="2" fillId="2" borderId="1" xfId="0" applyNumberFormat="1" applyFont="1" applyFill="1" applyBorder="1" applyAlignment="1">
      <alignment horizontal="center" wrapText="1"/>
    </xf>
    <xf numFmtId="9" fontId="2" fillId="2" borderId="1" xfId="0" applyNumberFormat="1" applyFont="1" applyFill="1" applyBorder="1" applyAlignment="1">
      <alignment horizontal="center" wrapText="1"/>
    </xf>
    <xf numFmtId="165" fontId="2" fillId="2" borderId="1" xfId="0" applyNumberFormat="1" applyFont="1" applyFill="1" applyBorder="1" applyAlignment="1">
      <alignment horizontal="center" wrapText="1"/>
    </xf>
    <xf numFmtId="2" fontId="3" fillId="0" borderId="3" xfId="0" applyNumberFormat="1" applyFont="1" applyFill="1" applyBorder="1" applyAlignment="1">
      <alignment horizontal="center" wrapText="1"/>
    </xf>
    <xf numFmtId="0" fontId="3" fillId="0" borderId="3" xfId="0" applyFont="1" applyFill="1" applyBorder="1" applyAlignment="1">
      <alignment horizontal="center" wrapText="1"/>
    </xf>
    <xf numFmtId="164" fontId="3" fillId="0" borderId="3" xfId="0" applyNumberFormat="1" applyFont="1" applyFill="1" applyBorder="1" applyAlignment="1">
      <alignment horizontal="center" wrapText="1"/>
    </xf>
    <xf numFmtId="1" fontId="3" fillId="0" borderId="3" xfId="0" applyNumberFormat="1" applyFont="1" applyFill="1" applyBorder="1" applyAlignment="1">
      <alignment horizontal="center" wrapText="1"/>
    </xf>
    <xf numFmtId="9" fontId="3" fillId="0" borderId="3" xfId="0" applyNumberFormat="1" applyFont="1" applyFill="1" applyBorder="1" applyAlignment="1">
      <alignment horizontal="center" wrapText="1"/>
    </xf>
    <xf numFmtId="165" fontId="3" fillId="0" borderId="3" xfId="0" applyNumberFormat="1" applyFont="1" applyFill="1" applyBorder="1" applyAlignment="1">
      <alignment horizontal="center" wrapText="1"/>
    </xf>
    <xf numFmtId="0" fontId="3" fillId="0" borderId="4" xfId="0" applyFont="1" applyFill="1" applyBorder="1" applyAlignment="1">
      <alignment horizontal="center" wrapText="1"/>
    </xf>
    <xf numFmtId="0" fontId="3" fillId="0" borderId="3" xfId="0" applyFont="1" applyBorder="1" applyAlignment="1">
      <alignment horizontal="center"/>
    </xf>
    <xf numFmtId="0" fontId="11" fillId="0" borderId="3" xfId="0" applyFont="1" applyFill="1" applyBorder="1" applyAlignment="1">
      <alignment horizontal="center"/>
    </xf>
    <xf numFmtId="0" fontId="0" fillId="5" borderId="0" xfId="0" applyFill="1"/>
    <xf numFmtId="0" fontId="5" fillId="3" borderId="3" xfId="0" applyFont="1" applyFill="1" applyBorder="1" applyAlignment="1">
      <alignment horizontal="center"/>
    </xf>
    <xf numFmtId="0" fontId="7" fillId="0" borderId="3" xfId="0" applyFont="1" applyBorder="1" applyAlignment="1">
      <alignment horizontal="center"/>
    </xf>
    <xf numFmtId="0" fontId="9" fillId="0" borderId="3" xfId="0" applyFont="1" applyBorder="1" applyAlignment="1">
      <alignment horizontal="center"/>
    </xf>
    <xf numFmtId="0" fontId="8" fillId="0" borderId="3" xfId="0" applyFont="1" applyBorder="1" applyAlignment="1">
      <alignment horizontal="center"/>
    </xf>
    <xf numFmtId="0" fontId="4" fillId="2" borderId="2" xfId="0" applyFont="1" applyFill="1" applyBorder="1" applyAlignment="1">
      <alignment horizontal="center" wrapText="1"/>
    </xf>
    <xf numFmtId="165" fontId="3" fillId="0" borderId="3" xfId="0" applyNumberFormat="1" applyFont="1" applyBorder="1" applyAlignment="1">
      <alignment horizontal="center" wrapText="1"/>
    </xf>
    <xf numFmtId="164" fontId="10" fillId="2" borderId="1" xfId="0" applyNumberFormat="1" applyFont="1" applyFill="1" applyBorder="1" applyAlignment="1">
      <alignment horizontal="center" wrapText="1"/>
    </xf>
    <xf numFmtId="0" fontId="10" fillId="2" borderId="1" xfId="0" applyFont="1" applyFill="1" applyBorder="1" applyAlignment="1">
      <alignment horizontal="center" wrapText="1"/>
    </xf>
    <xf numFmtId="0" fontId="0" fillId="0" borderId="3" xfId="0" applyBorder="1" applyAlignment="1">
      <alignment horizontal="center"/>
    </xf>
    <xf numFmtId="0" fontId="0" fillId="0" borderId="3" xfId="0" applyFill="1" applyBorder="1" applyAlignment="1">
      <alignment horizontal="center"/>
    </xf>
    <xf numFmtId="0" fontId="0" fillId="3" borderId="3" xfId="0" applyFill="1" applyBorder="1" applyAlignment="1">
      <alignment horizontal="center"/>
    </xf>
    <xf numFmtId="0" fontId="11" fillId="3" borderId="3" xfId="0" applyFont="1" applyFill="1" applyBorder="1" applyAlignment="1">
      <alignment horizontal="center"/>
    </xf>
    <xf numFmtId="0" fontId="0" fillId="5" borderId="3" xfId="0" applyFill="1" applyBorder="1" applyAlignment="1">
      <alignment horizontal="center"/>
    </xf>
    <xf numFmtId="0" fontId="14" fillId="3" borderId="3"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3" xfId="0" pivotButton="1" applyFont="1" applyBorder="1" applyAlignment="1">
      <alignment horizontal="center"/>
    </xf>
    <xf numFmtId="0" fontId="0" fillId="0" borderId="3" xfId="0" applyFont="1" applyBorder="1" applyAlignment="1">
      <alignment horizontal="center"/>
    </xf>
    <xf numFmtId="0" fontId="0" fillId="0" borderId="3" xfId="0" applyNumberFormat="1" applyBorder="1" applyAlignment="1">
      <alignment horizontal="center"/>
    </xf>
    <xf numFmtId="0" fontId="0" fillId="2" borderId="3" xfId="0" applyFill="1" applyBorder="1" applyAlignment="1">
      <alignment horizontal="center"/>
    </xf>
    <xf numFmtId="9" fontId="0" fillId="2" borderId="3" xfId="0" applyNumberFormat="1" applyFill="1" applyBorder="1" applyAlignment="1">
      <alignment horizontal="center"/>
    </xf>
    <xf numFmtId="9" fontId="16" fillId="6" borderId="3" xfId="0" applyNumberFormat="1" applyFont="1" applyFill="1" applyBorder="1" applyAlignment="1">
      <alignment horizontal="center"/>
    </xf>
    <xf numFmtId="0" fontId="9" fillId="0" borderId="0" xfId="0" applyFont="1"/>
    <xf numFmtId="9" fontId="9" fillId="4" borderId="3" xfId="0" applyNumberFormat="1" applyFont="1" applyFill="1" applyBorder="1" applyAlignment="1">
      <alignment horizontal="center"/>
    </xf>
    <xf numFmtId="9" fontId="9" fillId="3" borderId="3" xfId="0" applyNumberFormat="1" applyFont="1" applyFill="1" applyBorder="1" applyAlignment="1">
      <alignment horizontal="center"/>
    </xf>
    <xf numFmtId="9" fontId="5" fillId="0" borderId="3" xfId="0" applyNumberFormat="1" applyFont="1" applyBorder="1" applyAlignment="1">
      <alignment horizontal="center"/>
    </xf>
    <xf numFmtId="9" fontId="5" fillId="3" borderId="3" xfId="0" applyNumberFormat="1" applyFont="1" applyFill="1" applyBorder="1" applyAlignment="1">
      <alignment horizontal="center"/>
    </xf>
    <xf numFmtId="9" fontId="5" fillId="4" borderId="3" xfId="0" applyNumberFormat="1" applyFont="1" applyFill="1" applyBorder="1" applyAlignment="1">
      <alignment horizontal="center"/>
    </xf>
    <xf numFmtId="0" fontId="0" fillId="0" borderId="3" xfId="0" pivotButton="1" applyBorder="1" applyAlignment="1">
      <alignment horizontal="center"/>
    </xf>
    <xf numFmtId="0" fontId="0" fillId="4" borderId="3" xfId="0" applyFill="1" applyBorder="1" applyAlignment="1">
      <alignment horizontal="center"/>
    </xf>
    <xf numFmtId="0" fontId="0" fillId="7" borderId="0" xfId="0" applyFill="1"/>
    <xf numFmtId="0" fontId="17" fillId="7" borderId="0" xfId="0" applyFont="1" applyFill="1" applyAlignment="1">
      <alignment horizontal="center" vertical="center" wrapText="1"/>
    </xf>
    <xf numFmtId="166" fontId="18" fillId="7" borderId="0" xfId="0" applyNumberFormat="1" applyFont="1" applyFill="1" applyAlignment="1">
      <alignment horizontal="center" vertical="center" wrapText="1"/>
    </xf>
    <xf numFmtId="166" fontId="18" fillId="7" borderId="0" xfId="0" applyNumberFormat="1" applyFont="1" applyFill="1"/>
    <xf numFmtId="0" fontId="17" fillId="7" borderId="0" xfId="0" applyFont="1" applyFill="1" applyAlignment="1">
      <alignment vertical="center" wrapText="1"/>
    </xf>
    <xf numFmtId="0" fontId="17" fillId="7" borderId="0" xfId="0" applyFont="1" applyFill="1" applyBorder="1" applyAlignment="1">
      <alignment vertical="center" wrapText="1"/>
    </xf>
    <xf numFmtId="164" fontId="19" fillId="7" borderId="0" xfId="0" applyNumberFormat="1" applyFont="1" applyFill="1"/>
    <xf numFmtId="0" fontId="19" fillId="7" borderId="0" xfId="0" applyFont="1" applyFill="1"/>
    <xf numFmtId="0" fontId="20" fillId="7" borderId="0" xfId="0" applyFont="1" applyFill="1"/>
    <xf numFmtId="0" fontId="21" fillId="7" borderId="0" xfId="0" applyFont="1" applyFill="1" applyAlignment="1">
      <alignment horizontal="center"/>
    </xf>
    <xf numFmtId="0" fontId="22" fillId="7" borderId="0" xfId="0" applyFont="1" applyFill="1" applyAlignment="1">
      <alignment horizontal="center"/>
    </xf>
    <xf numFmtId="0" fontId="17" fillId="7" borderId="0" xfId="0" applyFont="1" applyFill="1" applyAlignment="1">
      <alignment horizontal="center" vertical="center" wrapText="1"/>
    </xf>
    <xf numFmtId="0" fontId="6" fillId="2" borderId="3" xfId="0" applyFont="1" applyFill="1" applyBorder="1" applyAlignment="1">
      <alignment horizontal="center"/>
    </xf>
    <xf numFmtId="0" fontId="15" fillId="2" borderId="3" xfId="0" applyFont="1" applyFill="1" applyBorder="1" applyAlignment="1">
      <alignment horizontal="center"/>
    </xf>
    <xf numFmtId="0" fontId="11" fillId="2" borderId="4" xfId="0" applyFont="1" applyFill="1" applyBorder="1" applyAlignment="1">
      <alignment horizontal="center"/>
    </xf>
    <xf numFmtId="0" fontId="11" fillId="2" borderId="5" xfId="0" applyFont="1" applyFill="1" applyBorder="1" applyAlignment="1">
      <alignment horizontal="center"/>
    </xf>
    <xf numFmtId="0" fontId="13" fillId="0" borderId="3" xfId="0" applyFont="1" applyBorder="1" applyAlignment="1">
      <alignment horizontal="center"/>
    </xf>
    <xf numFmtId="0" fontId="12" fillId="2" borderId="4" xfId="0" applyFont="1" applyFill="1" applyBorder="1" applyAlignment="1">
      <alignment horizontal="center"/>
    </xf>
    <xf numFmtId="0" fontId="12" fillId="2" borderId="6" xfId="0" applyFont="1" applyFill="1" applyBorder="1" applyAlignment="1">
      <alignment horizontal="center"/>
    </xf>
    <xf numFmtId="0" fontId="12" fillId="2" borderId="5" xfId="0" applyFont="1" applyFill="1" applyBorder="1" applyAlignment="1">
      <alignment horizontal="center"/>
    </xf>
    <xf numFmtId="0" fontId="0" fillId="2" borderId="3" xfId="0" applyFill="1" applyBorder="1" applyAlignment="1">
      <alignment horizontal="center"/>
    </xf>
  </cellXfs>
  <cellStyles count="1">
    <cellStyle name="Normal" xfId="0" builtinId="0"/>
  </cellStyles>
  <dxfs count="35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rgb="FFFF0000"/>
        <name val="Aptos Narrow"/>
        <family val="2"/>
        <scheme val="minor"/>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numFmt numFmtId="165" formatCode="yyyy\-mm\-dd;@"/>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numFmt numFmtId="0" formatCode="Genera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164" formatCode="&quot;$&quot;#,##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165" formatCode="yyyy\-mm\-dd;@"/>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13" formatCode="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1" formatCode="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164" formatCode="&quot;$&quot;#,##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numFmt numFmtId="2" formatCode="0.00"/>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rgb="FFFFFF00"/>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i val="0"/>
        <sz val="10"/>
        <color theme="0"/>
        <name val="Aptos Narrow"/>
        <family val="2"/>
        <scheme val="minor"/>
      </font>
      <fill>
        <patternFill>
          <bgColor rgb="FF1F1E38"/>
        </patternFill>
      </fill>
    </dxf>
    <dxf>
      <fill>
        <patternFill patternType="solid">
          <fgColor theme="0"/>
          <bgColor rgb="FF2A2946"/>
        </patternFill>
      </fill>
      <border diagonalUp="0" diagonalDown="0">
        <left/>
        <right/>
        <top/>
        <bottom/>
        <vertical/>
        <horizontal/>
      </border>
    </dxf>
    <dxf>
      <font>
        <b/>
        <i val="0"/>
        <sz val="10"/>
        <color theme="0"/>
        <name val="Aptos Narrow"/>
        <family val="2"/>
        <scheme val="minor"/>
      </font>
      <fill>
        <patternFill>
          <bgColor rgb="FF2A2946"/>
        </patternFill>
      </fill>
    </dxf>
    <dxf>
      <fill>
        <patternFill patternType="solid">
          <fgColor theme="0"/>
          <bgColor rgb="FF2A2946"/>
        </patternFill>
      </fill>
      <border diagonalUp="0" diagonalDown="0">
        <left/>
        <right/>
        <top/>
        <bottom/>
        <vertical/>
        <horizontal/>
      </border>
    </dxf>
    <dxf>
      <font>
        <b/>
        <i val="0"/>
        <sz val="10"/>
        <color theme="0"/>
        <name val="Aptos Narrow"/>
        <family val="2"/>
        <scheme val="minor"/>
      </font>
      <fill>
        <patternFill>
          <bgColor rgb="FF1F1E38"/>
        </patternFill>
      </fill>
    </dxf>
    <dxf>
      <fill>
        <patternFill patternType="solid">
          <fgColor theme="0"/>
          <bgColor rgb="FF2A2946"/>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font>
    </dxf>
    <dxf>
      <fill>
        <patternFill patternType="solid">
          <bgColor rgb="FF2A2946"/>
        </patternFill>
      </fill>
    </dxf>
    <dxf>
      <font>
        <b/>
        <i val="0"/>
        <sz val="10"/>
        <color theme="0"/>
      </font>
    </dxf>
    <dxf>
      <fill>
        <patternFill>
          <bgColor rgb="FF2A2946"/>
        </patternFill>
      </fill>
    </dxf>
  </dxfs>
  <tableStyles count="6" defaultTableStyle="TableStyleMedium2" defaultPivotStyle="PivotStyleLight16">
    <tableStyle name="Dashboard Purple" pivot="0" table="0" count="4" xr9:uid="{044A1FE1-CC54-4C2B-A97B-FC25F01A11E3}">
      <tableStyleElement type="wholeTable" dxfId="355"/>
      <tableStyleElement type="headerRow" dxfId="354"/>
    </tableStyle>
    <tableStyle name="Dashboard Purple 2" pivot="0" table="0" count="4" xr9:uid="{140FBB57-A403-4A5F-8A27-6D808473FD7F}">
      <tableStyleElement type="wholeTable" dxfId="353"/>
      <tableStyleElement type="headerRow" dxfId="352"/>
    </tableStyle>
    <tableStyle name="Dashboard Timeline" pivot="0" table="0" count="8" xr9:uid="{884B5F35-A416-4A1D-B879-5C5046131575}">
      <tableStyleElement type="wholeTable" dxfId="351"/>
      <tableStyleElement type="headerRow" dxfId="350"/>
    </tableStyle>
    <tableStyle name="Dashboard Timeline1" pivot="0" table="0" count="8" xr9:uid="{8D611E75-71C2-45BF-81DB-47758759EA38}">
      <tableStyleElement type="wholeTable" dxfId="349"/>
      <tableStyleElement type="headerRow" dxfId="348"/>
    </tableStyle>
    <tableStyle name="Dashboard Timeline1 2" pivot="0" table="0" count="8" xr9:uid="{98A33CC7-4B05-46CF-8156-E19C90C07923}">
      <tableStyleElement type="wholeTable" dxfId="347"/>
      <tableStyleElement type="headerRow" dxfId="346"/>
    </tableStyle>
    <tableStyle name="Dashboard Timeline1 3" pivot="0" table="0" count="8" xr9:uid="{B977DC5B-9CFD-49D1-9734-38948E15CAB8}">
      <tableStyleElement type="wholeTable" dxfId="345"/>
      <tableStyleElement type="headerRow" dxfId="344"/>
    </tableStyle>
  </tableStyles>
  <colors>
    <mruColors>
      <color rgb="FF914DFF"/>
      <color rgb="FF1F1E38"/>
      <color rgb="FF2A2946"/>
      <color rgb="FF46445F"/>
      <color rgb="FF8A55F7"/>
      <color rgb="FF3A3852"/>
      <color rgb="FFC45CFF"/>
      <color rgb="FF934DFF"/>
      <color rgb="FF121212"/>
      <color rgb="FFCCFFFF"/>
    </mruColors>
  </colors>
  <extLst>
    <ext xmlns:x14="http://schemas.microsoft.com/office/spreadsheetml/2009/9/main" uri="{46F421CA-312F-682f-3DD2-61675219B42D}">
      <x14:dxfs count="4">
        <dxf>
          <font>
            <b/>
            <i val="0"/>
            <sz val="9"/>
            <color theme="0"/>
          </font>
          <fill>
            <patternFill>
              <bgColor rgb="FFC45CFF"/>
            </patternFill>
          </fill>
        </dxf>
        <dxf>
          <font>
            <b val="0"/>
            <i val="0"/>
            <sz val="9"/>
            <color theme="0"/>
          </font>
          <fill>
            <patternFill>
              <bgColor rgb="FF914DFF"/>
            </patternFill>
          </fill>
        </dxf>
        <dxf>
          <font>
            <b/>
            <i val="0"/>
            <sz val="9"/>
            <color theme="0"/>
          </font>
          <fill>
            <patternFill>
              <bgColor rgb="FFC45CFF"/>
            </patternFill>
          </fill>
        </dxf>
        <dxf>
          <font>
            <b val="0"/>
            <i val="0"/>
            <sz val="9"/>
            <color theme="0"/>
          </font>
          <fill>
            <patternFill>
              <bgColor rgb="FF914DFF"/>
            </patternFill>
          </fill>
        </dxf>
      </x14:dxfs>
    </ext>
    <ext xmlns:x14="http://schemas.microsoft.com/office/spreadsheetml/2009/9/main" uri="{EB79DEF2-80B8-43e5-95BD-54CBDDF9020C}">
      <x14:slicerStyles defaultSlicerStyle="SlicerStyleLight1">
        <x14:slicerStyle name="Dashboard Purple">
          <x14:slicerStyleElements>
            <x14:slicerStyleElement type="unselectedItemWithData" dxfId="3"/>
            <x14:slicerStyleElement type="selectedItemWithData" dxfId="2"/>
          </x14:slicerStyleElements>
        </x14:slicerStyle>
        <x14:slicerStyle name="Dashboard Purple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24">
        <dxf>
          <fill>
            <patternFill patternType="solid">
              <fgColor theme="0" tint="-0.14996795556505021"/>
              <bgColor rgb="FF46445F"/>
            </patternFill>
          </fill>
        </dxf>
        <dxf>
          <fill>
            <patternFill patternType="solid">
              <fgColor theme="0"/>
              <bgColor rgb="FF914DFF"/>
            </patternFill>
          </fill>
        </dxf>
        <dxf>
          <font>
            <b val="0"/>
            <i val="0"/>
            <sz val="9"/>
            <color theme="0"/>
            <name val="Aptos Narrow"/>
            <family val="2"/>
            <scheme val="minor"/>
          </font>
        </dxf>
        <dxf>
          <font>
            <b val="0"/>
            <i val="0"/>
            <sz val="9"/>
            <color theme="0"/>
            <name val="Aptos Narrow"/>
            <family val="2"/>
            <scheme val="minor"/>
          </font>
        </dxf>
        <dxf>
          <font>
            <sz val="9"/>
            <color theme="1" tint="0.499984740745262"/>
          </font>
        </dxf>
        <dxf>
          <font>
            <sz val="10"/>
            <color theme="1" tint="0.499984740745262"/>
          </font>
        </dxf>
        <dxf>
          <fill>
            <patternFill patternType="solid">
              <fgColor theme="0" tint="-0.14996795556505021"/>
              <bgColor rgb="FF46445F"/>
            </patternFill>
          </fill>
        </dxf>
        <dxf>
          <fill>
            <patternFill patternType="solid">
              <fgColor theme="0"/>
              <bgColor rgb="FF914DFF"/>
            </patternFill>
          </fill>
        </dxf>
        <dxf>
          <font>
            <b val="0"/>
            <i val="0"/>
            <sz val="9"/>
            <color theme="0"/>
            <name val="Aptos Narrow"/>
            <family val="2"/>
            <scheme val="minor"/>
          </font>
        </dxf>
        <dxf>
          <font>
            <b val="0"/>
            <i val="0"/>
            <sz val="9"/>
            <color theme="0"/>
            <name val="Aptos Narrow"/>
            <family val="2"/>
            <scheme val="minor"/>
          </font>
        </dxf>
        <dxf>
          <font>
            <sz val="9"/>
            <color theme="1" tint="0.499984740745262"/>
          </font>
        </dxf>
        <dxf>
          <font>
            <sz val="10"/>
            <color theme="1" tint="0.499984740745262"/>
          </font>
        </dxf>
        <dxf>
          <fill>
            <patternFill patternType="solid">
              <fgColor theme="0" tint="-0.14996795556505021"/>
              <bgColor rgb="FF46445F"/>
            </patternFill>
          </fill>
        </dxf>
        <dxf>
          <fill>
            <patternFill patternType="solid">
              <fgColor theme="0"/>
              <bgColor rgb="FF914DFF"/>
            </patternFill>
          </fill>
        </dxf>
        <dxf>
          <font>
            <b val="0"/>
            <i val="0"/>
            <sz val="9"/>
            <color theme="0"/>
            <name val="Aptos Narrow"/>
            <family val="2"/>
            <scheme val="minor"/>
          </font>
        </dxf>
        <dxf>
          <font>
            <b val="0"/>
            <i val="0"/>
            <sz val="9"/>
            <color theme="0"/>
            <name val="Aptos Narrow"/>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Dashboard Timeline">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Dashboard Timeline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Dashboard Timeline1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Dashboard Timeline1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[ANALYZER_EXCEL.xlsx]PIVOT TABLES!MONTHLY SALES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a:t>
            </a:r>
            <a:r>
              <a:rPr lang="en-US" baseline="0">
                <a:solidFill>
                  <a:schemeClr val="bg1"/>
                </a:solidFill>
              </a:rPr>
              <a:t>  SALES</a:t>
            </a:r>
            <a:endParaRPr lang="en-US">
              <a:solidFill>
                <a:schemeClr val="bg1"/>
              </a:solidFill>
            </a:endParaRPr>
          </a:p>
        </c:rich>
      </c:tx>
      <c:layout>
        <c:manualLayout>
          <c:xMode val="edge"/>
          <c:yMode val="edge"/>
          <c:x val="4.7129373728946131E-3"/>
          <c:y val="1.03810553092628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934DFF"/>
            </a:solidFill>
            <a:round/>
          </a:ln>
          <a:effectLst/>
        </c:spPr>
        <c:marker>
          <c:symbol val="circle"/>
          <c:size val="6"/>
          <c:spPr>
            <a:solidFill>
              <a:srgbClr val="C45CF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34DFF"/>
            </a:solidFill>
            <a:round/>
          </a:ln>
          <a:effectLst/>
        </c:spPr>
        <c:marker>
          <c:symbol val="circle"/>
          <c:size val="6"/>
          <c:spPr>
            <a:solidFill>
              <a:srgbClr val="C45CF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34DFF"/>
            </a:solidFill>
            <a:round/>
          </a:ln>
          <a:effectLst/>
        </c:spPr>
        <c:marker>
          <c:symbol val="circle"/>
          <c:size val="6"/>
          <c:spPr>
            <a:solidFill>
              <a:srgbClr val="C45CF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TABLES'!$P$2</c:f>
              <c:strCache>
                <c:ptCount val="1"/>
                <c:pt idx="0">
                  <c:v>Total</c:v>
                </c:pt>
              </c:strCache>
            </c:strRef>
          </c:tx>
          <c:spPr>
            <a:ln w="28575" cap="rnd">
              <a:solidFill>
                <a:srgbClr val="934DFF"/>
              </a:solidFill>
              <a:round/>
            </a:ln>
            <a:effectLst/>
          </c:spPr>
          <c:marker>
            <c:symbol val="circle"/>
            <c:size val="6"/>
            <c:spPr>
              <a:solidFill>
                <a:srgbClr val="C45CFF"/>
              </a:solidFill>
              <a:ln w="9525">
                <a:noFill/>
              </a:ln>
              <a:effectLst/>
            </c:spPr>
          </c:marker>
          <c:cat>
            <c:strRef>
              <c:f>'PIVOT TABLES'!$O$3:$O$15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TABLES'!$P$3:$P$15</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5BD6-4F36-974E-1156EEC8B1E0}"/>
            </c:ext>
          </c:extLst>
        </c:ser>
        <c:dLbls>
          <c:showLegendKey val="0"/>
          <c:showVal val="0"/>
          <c:showCatName val="0"/>
          <c:showSerName val="0"/>
          <c:showPercent val="0"/>
          <c:showBubbleSize val="0"/>
        </c:dLbls>
        <c:marker val="1"/>
        <c:smooth val="0"/>
        <c:axId val="20407120"/>
        <c:axId val="20409040"/>
      </c:lineChart>
      <c:catAx>
        <c:axId val="204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09040"/>
        <c:crosses val="autoZero"/>
        <c:auto val="1"/>
        <c:lblAlgn val="ctr"/>
        <c:lblOffset val="100"/>
        <c:noMultiLvlLbl val="0"/>
      </c:catAx>
      <c:valAx>
        <c:axId val="20409040"/>
        <c:scaling>
          <c:orientation val="minMax"/>
        </c:scaling>
        <c:delete val="0"/>
        <c:axPos val="l"/>
        <c:majorGridlines>
          <c:spPr>
            <a:ln w="6350" cap="flat" cmpd="sng" algn="ctr">
              <a:solidFill>
                <a:srgbClr val="46445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0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[ANALYZER_EXCEL.xlsx]PRODUCT PERFORMANCE!PivotTable3</c:name>
    <c:fmtId val="30"/>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PRODUCT PERFORMANCE</a:t>
            </a:r>
          </a:p>
        </c:rich>
      </c:tx>
      <c:layout>
        <c:manualLayout>
          <c:xMode val="edge"/>
          <c:yMode val="edge"/>
          <c:x val="2.388132990225536E-2"/>
          <c:y val="2.971217210600226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marker>
          <c:symbol val="circle"/>
          <c:size val="6"/>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63333498543914"/>
          <c:y val="0.15351760828598413"/>
          <c:w val="0.53792563600782783"/>
          <c:h val="0.8108554572271387"/>
        </c:manualLayout>
      </c:layout>
      <c:doughnutChart>
        <c:varyColors val="1"/>
        <c:ser>
          <c:idx val="0"/>
          <c:order val="0"/>
          <c:tx>
            <c:strRef>
              <c:f>'PRODUCT PERFORMANCE'!$B$3</c:f>
              <c:strCache>
                <c:ptCount val="1"/>
                <c:pt idx="0">
                  <c:v>Total</c:v>
                </c:pt>
              </c:strCache>
            </c:strRef>
          </c:tx>
          <c:spPr>
            <a:ln w="28575">
              <a:solidFill>
                <a:schemeClr val="bg1"/>
              </a:solidFill>
            </a:ln>
          </c:spPr>
          <c:dPt>
            <c:idx val="0"/>
            <c:bubble3D val="0"/>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0E-4AB4-8C0A-0777DCE37A5F}"/>
              </c:ext>
            </c:extLst>
          </c:dPt>
          <c:dPt>
            <c:idx val="1"/>
            <c:bubble3D val="0"/>
            <c:spPr>
              <a:solidFill>
                <a:schemeClr val="accent2"/>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0E-4AB4-8C0A-0777DCE37A5F}"/>
              </c:ext>
            </c:extLst>
          </c:dPt>
          <c:dPt>
            <c:idx val="2"/>
            <c:bubble3D val="0"/>
            <c:spPr>
              <a:solidFill>
                <a:schemeClr val="accent3"/>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80E-4AB4-8C0A-0777DCE37A5F}"/>
              </c:ext>
            </c:extLst>
          </c:dPt>
          <c:dPt>
            <c:idx val="3"/>
            <c:bubble3D val="0"/>
            <c:spPr>
              <a:solidFill>
                <a:schemeClr val="accent4"/>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80E-4AB4-8C0A-0777DCE37A5F}"/>
              </c:ext>
            </c:extLst>
          </c:dPt>
          <c:dPt>
            <c:idx val="4"/>
            <c:bubble3D val="0"/>
            <c:spPr>
              <a:solidFill>
                <a:schemeClr val="accent5"/>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80E-4AB4-8C0A-0777DCE37A5F}"/>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PERFORMANCE'!$A$4:$A$9</c:f>
              <c:strCache>
                <c:ptCount val="5"/>
                <c:pt idx="0">
                  <c:v>Books</c:v>
                </c:pt>
                <c:pt idx="1">
                  <c:v>Clothing</c:v>
                </c:pt>
                <c:pt idx="2">
                  <c:v>Electronics</c:v>
                </c:pt>
                <c:pt idx="3">
                  <c:v>Furniture</c:v>
                </c:pt>
                <c:pt idx="4">
                  <c:v>Office Supplies</c:v>
                </c:pt>
              </c:strCache>
            </c:strRef>
          </c:cat>
          <c:val>
            <c:numRef>
              <c:f>'PRODUCT PERFORMANCE'!$B$4:$B$9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F80E-4AB4-8C0A-0777DCE37A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719156970591622"/>
          <c:y val="0.31041676924585676"/>
          <c:w val="0.1724575766018952"/>
          <c:h val="0.4829903017394853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[ANALYZER_EXCEL.xlsx]REGION &amp; PRODUCT SALES!PivotTable1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bg1"/>
                </a:solidFill>
              </a:rPr>
              <a:t>REGION &amp; PRODUCT SALES</a:t>
            </a:r>
          </a:p>
        </c:rich>
      </c:tx>
      <c:layout>
        <c:manualLayout>
          <c:xMode val="edge"/>
          <c:yMode val="edge"/>
          <c:x val="1.2122378493501415E-2"/>
          <c:y val="3.574620196604110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&amp; PRODUCT SALES'!$B$3:$B$4</c:f>
              <c:strCache>
                <c:ptCount val="1"/>
                <c:pt idx="0">
                  <c:v>Office Supplies</c:v>
                </c:pt>
              </c:strCache>
            </c:strRef>
          </c:tx>
          <c:spPr>
            <a:solidFill>
              <a:schemeClr val="accent1"/>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SALES'!$B$5:$B$10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0-2081-47A6-92D2-40509CB80CFE}"/>
            </c:ext>
          </c:extLst>
        </c:ser>
        <c:ser>
          <c:idx val="1"/>
          <c:order val="1"/>
          <c:tx>
            <c:strRef>
              <c:f>'REGION &amp; PRODUCT SALES'!$C$3:$C$4</c:f>
              <c:strCache>
                <c:ptCount val="1"/>
                <c:pt idx="0">
                  <c:v>Furniture</c:v>
                </c:pt>
              </c:strCache>
            </c:strRef>
          </c:tx>
          <c:spPr>
            <a:solidFill>
              <a:schemeClr val="accent2"/>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SALES'!$C$5:$C$10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5-3139-4AAE-A96A-00A3C762BB17}"/>
            </c:ext>
          </c:extLst>
        </c:ser>
        <c:ser>
          <c:idx val="2"/>
          <c:order val="2"/>
          <c:tx>
            <c:strRef>
              <c:f>'REGION &amp; PRODUCT SALES'!$D$3:$D$4</c:f>
              <c:strCache>
                <c:ptCount val="1"/>
                <c:pt idx="0">
                  <c:v>Electronics</c:v>
                </c:pt>
              </c:strCache>
            </c:strRef>
          </c:tx>
          <c:spPr>
            <a:solidFill>
              <a:schemeClr val="accent3"/>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6-3139-4AAE-A96A-00A3C762BB17}"/>
            </c:ext>
          </c:extLst>
        </c:ser>
        <c:ser>
          <c:idx val="3"/>
          <c:order val="3"/>
          <c:tx>
            <c:strRef>
              <c:f>'REGION &amp; PRODUCT SALES'!$E$3:$E$4</c:f>
              <c:strCache>
                <c:ptCount val="1"/>
                <c:pt idx="0">
                  <c:v>Clothing</c:v>
                </c:pt>
              </c:strCache>
            </c:strRef>
          </c:tx>
          <c:spPr>
            <a:solidFill>
              <a:schemeClr val="accent4"/>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SALES'!$E$5:$E$10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7-3139-4AAE-A96A-00A3C762BB17}"/>
            </c:ext>
          </c:extLst>
        </c:ser>
        <c:ser>
          <c:idx val="4"/>
          <c:order val="4"/>
          <c:tx>
            <c:strRef>
              <c:f>'REGION &amp; PRODUCT SALES'!$F$3:$F$4</c:f>
              <c:strCache>
                <c:ptCount val="1"/>
                <c:pt idx="0">
                  <c:v>Books</c:v>
                </c:pt>
              </c:strCache>
            </c:strRef>
          </c:tx>
          <c:spPr>
            <a:solidFill>
              <a:schemeClr val="accent5"/>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SALES'!$F$5:$F$10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8-3139-4AAE-A96A-00A3C762BB17}"/>
            </c:ext>
          </c:extLst>
        </c:ser>
        <c:dLbls>
          <c:showLegendKey val="0"/>
          <c:showVal val="0"/>
          <c:showCatName val="0"/>
          <c:showSerName val="0"/>
          <c:showPercent val="0"/>
          <c:showBubbleSize val="0"/>
        </c:dLbls>
        <c:gapWidth val="219"/>
        <c:overlap val="-27"/>
        <c:axId val="1108792000"/>
        <c:axId val="1108793920"/>
      </c:barChart>
      <c:catAx>
        <c:axId val="110879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793920"/>
        <c:crosses val="autoZero"/>
        <c:auto val="1"/>
        <c:lblAlgn val="ctr"/>
        <c:lblOffset val="100"/>
        <c:noMultiLvlLbl val="0"/>
      </c:catAx>
      <c:valAx>
        <c:axId val="1108793920"/>
        <c:scaling>
          <c:orientation val="minMax"/>
        </c:scaling>
        <c:delete val="0"/>
        <c:axPos val="l"/>
        <c:majorGridlines>
          <c:spPr>
            <a:ln w="9525" cap="flat" cmpd="sng" algn="ctr">
              <a:solidFill>
                <a:srgbClr val="3A3852"/>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79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[ANALYZER_EXCEL.xlsx]REGION PERFORMANCE!PivotTable2</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REGIONAL PERFORMANCE</a:t>
            </a:r>
          </a:p>
        </c:rich>
      </c:tx>
      <c:layout>
        <c:manualLayout>
          <c:xMode val="edge"/>
          <c:yMode val="edge"/>
          <c:x val="1.511696125771966E-2"/>
          <c:y val="3.3167495854063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rgbClr val="8A55F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A55F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A55F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PERFORMANCE'!$B$3</c:f>
              <c:strCache>
                <c:ptCount val="1"/>
                <c:pt idx="0">
                  <c:v>Total</c:v>
                </c:pt>
              </c:strCache>
            </c:strRef>
          </c:tx>
          <c:spPr>
            <a:solidFill>
              <a:srgbClr val="8A55F7"/>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PERFORMANCE'!$A$4:$A$9</c:f>
              <c:strCache>
                <c:ptCount val="5"/>
                <c:pt idx="0">
                  <c:v>Central</c:v>
                </c:pt>
                <c:pt idx="1">
                  <c:v>East</c:v>
                </c:pt>
                <c:pt idx="2">
                  <c:v>North</c:v>
                </c:pt>
                <c:pt idx="3">
                  <c:v>South</c:v>
                </c:pt>
                <c:pt idx="4">
                  <c:v>West</c:v>
                </c:pt>
              </c:strCache>
            </c:strRef>
          </c:cat>
          <c:val>
            <c:numRef>
              <c:f>'REGION PERFORMANCE'!$B$4:$B$9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1990-4B6D-9AFF-20E0F8325542}"/>
            </c:ext>
          </c:extLst>
        </c:ser>
        <c:dLbls>
          <c:dLblPos val="inEnd"/>
          <c:showLegendKey val="0"/>
          <c:showVal val="1"/>
          <c:showCatName val="0"/>
          <c:showSerName val="0"/>
          <c:showPercent val="0"/>
          <c:showBubbleSize val="0"/>
        </c:dLbls>
        <c:gapWidth val="65"/>
        <c:axId val="965949424"/>
        <c:axId val="965944624"/>
      </c:barChart>
      <c:catAx>
        <c:axId val="965949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965944624"/>
        <c:crosses val="autoZero"/>
        <c:auto val="1"/>
        <c:lblAlgn val="ctr"/>
        <c:lblOffset val="100"/>
        <c:noMultiLvlLbl val="0"/>
      </c:catAx>
      <c:valAx>
        <c:axId val="965944624"/>
        <c:scaling>
          <c:orientation val="minMax"/>
        </c:scaling>
        <c:delete val="0"/>
        <c:axPos val="b"/>
        <c:majorGridlines>
          <c:spPr>
            <a:ln w="9525" cap="flat" cmpd="sng" algn="ctr">
              <a:solidFill>
                <a:srgbClr val="3A38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594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[ANALYZER_EXCEL.xlsx]REGION &amp; PRODUCT SALES!PivotTable1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bg1"/>
                </a:solidFill>
              </a:rPr>
              <a:t>REGION &amp; PRODUCT SALES</a:t>
            </a:r>
          </a:p>
        </c:rich>
      </c:tx>
      <c:layout>
        <c:manualLayout>
          <c:xMode val="edge"/>
          <c:yMode val="edge"/>
          <c:x val="1.2122378493501415E-2"/>
          <c:y val="3.574620196604110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&amp; PRODUCT SALES'!$B$3:$B$4</c:f>
              <c:strCache>
                <c:ptCount val="1"/>
                <c:pt idx="0">
                  <c:v>Office Supplies</c:v>
                </c:pt>
              </c:strCache>
            </c:strRef>
          </c:tx>
          <c:spPr>
            <a:solidFill>
              <a:schemeClr val="accent1"/>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SALES'!$B$5:$B$10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0-59C5-4E2B-8EB9-0D08E33225FF}"/>
            </c:ext>
          </c:extLst>
        </c:ser>
        <c:ser>
          <c:idx val="1"/>
          <c:order val="1"/>
          <c:tx>
            <c:strRef>
              <c:f>'REGION &amp; PRODUCT SALES'!$C$3:$C$4</c:f>
              <c:strCache>
                <c:ptCount val="1"/>
                <c:pt idx="0">
                  <c:v>Furniture</c:v>
                </c:pt>
              </c:strCache>
            </c:strRef>
          </c:tx>
          <c:spPr>
            <a:solidFill>
              <a:schemeClr val="accent2"/>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SALES'!$C$5:$C$10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4-1704-47D4-9692-D5A0BA2E6A91}"/>
            </c:ext>
          </c:extLst>
        </c:ser>
        <c:ser>
          <c:idx val="2"/>
          <c:order val="2"/>
          <c:tx>
            <c:strRef>
              <c:f>'REGION &amp; PRODUCT SALES'!$D$3:$D$4</c:f>
              <c:strCache>
                <c:ptCount val="1"/>
                <c:pt idx="0">
                  <c:v>Electronics</c:v>
                </c:pt>
              </c:strCache>
            </c:strRef>
          </c:tx>
          <c:spPr>
            <a:solidFill>
              <a:schemeClr val="accent3"/>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5-1704-47D4-9692-D5A0BA2E6A91}"/>
            </c:ext>
          </c:extLst>
        </c:ser>
        <c:ser>
          <c:idx val="3"/>
          <c:order val="3"/>
          <c:tx>
            <c:strRef>
              <c:f>'REGION &amp; PRODUCT SALES'!$E$3:$E$4</c:f>
              <c:strCache>
                <c:ptCount val="1"/>
                <c:pt idx="0">
                  <c:v>Clothing</c:v>
                </c:pt>
              </c:strCache>
            </c:strRef>
          </c:tx>
          <c:spPr>
            <a:solidFill>
              <a:schemeClr val="accent4"/>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SALES'!$E$5:$E$10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6-1704-47D4-9692-D5A0BA2E6A91}"/>
            </c:ext>
          </c:extLst>
        </c:ser>
        <c:ser>
          <c:idx val="4"/>
          <c:order val="4"/>
          <c:tx>
            <c:strRef>
              <c:f>'REGION &amp; PRODUCT SALES'!$F$3:$F$4</c:f>
              <c:strCache>
                <c:ptCount val="1"/>
                <c:pt idx="0">
                  <c:v>Books</c:v>
                </c:pt>
              </c:strCache>
            </c:strRef>
          </c:tx>
          <c:spPr>
            <a:solidFill>
              <a:schemeClr val="accent5"/>
            </a:solidFill>
            <a:ln>
              <a:noFill/>
            </a:ln>
            <a:effectLst/>
          </c:spPr>
          <c:invertIfNegative val="0"/>
          <c:cat>
            <c:strRef>
              <c:f>'REGION &amp; PRODUCT SALES'!$A$5:$A$10</c:f>
              <c:strCache>
                <c:ptCount val="5"/>
                <c:pt idx="0">
                  <c:v>Central</c:v>
                </c:pt>
                <c:pt idx="1">
                  <c:v>East</c:v>
                </c:pt>
                <c:pt idx="2">
                  <c:v>North</c:v>
                </c:pt>
                <c:pt idx="3">
                  <c:v>South</c:v>
                </c:pt>
                <c:pt idx="4">
                  <c:v>West</c:v>
                </c:pt>
              </c:strCache>
            </c:strRef>
          </c:cat>
          <c:val>
            <c:numRef>
              <c:f>'REGION &amp; PRODUCT SALES'!$F$5:$F$10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7-1704-47D4-9692-D5A0BA2E6A91}"/>
            </c:ext>
          </c:extLst>
        </c:ser>
        <c:dLbls>
          <c:showLegendKey val="0"/>
          <c:showVal val="0"/>
          <c:showCatName val="0"/>
          <c:showSerName val="0"/>
          <c:showPercent val="0"/>
          <c:showBubbleSize val="0"/>
        </c:dLbls>
        <c:gapWidth val="219"/>
        <c:overlap val="-27"/>
        <c:axId val="1108792000"/>
        <c:axId val="1108793920"/>
      </c:barChart>
      <c:catAx>
        <c:axId val="110879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793920"/>
        <c:crosses val="autoZero"/>
        <c:auto val="1"/>
        <c:lblAlgn val="ctr"/>
        <c:lblOffset val="100"/>
        <c:noMultiLvlLbl val="0"/>
      </c:catAx>
      <c:valAx>
        <c:axId val="1108793920"/>
        <c:scaling>
          <c:orientation val="minMax"/>
        </c:scaling>
        <c:delete val="0"/>
        <c:axPos val="l"/>
        <c:majorGridlines>
          <c:spPr>
            <a:ln w="9525" cap="flat" cmpd="sng" algn="ctr">
              <a:solidFill>
                <a:srgbClr val="3A3852"/>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879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[ANALYZER_EXCEL.xlsx]REGION PERFORMANCE!PivotTable2</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REGIONAL PERFORMANCE</a:t>
            </a:r>
          </a:p>
        </c:rich>
      </c:tx>
      <c:layout>
        <c:manualLayout>
          <c:xMode val="edge"/>
          <c:yMode val="edge"/>
          <c:x val="1.511696125771966E-2"/>
          <c:y val="3.3167495854063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rgbClr val="8A55F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PERFORMANCE'!$B$3</c:f>
              <c:strCache>
                <c:ptCount val="1"/>
                <c:pt idx="0">
                  <c:v>Total</c:v>
                </c:pt>
              </c:strCache>
            </c:strRef>
          </c:tx>
          <c:spPr>
            <a:solidFill>
              <a:srgbClr val="8A55F7"/>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PERFORMANCE'!$A$4:$A$9</c:f>
              <c:strCache>
                <c:ptCount val="5"/>
                <c:pt idx="0">
                  <c:v>Central</c:v>
                </c:pt>
                <c:pt idx="1">
                  <c:v>East</c:v>
                </c:pt>
                <c:pt idx="2">
                  <c:v>North</c:v>
                </c:pt>
                <c:pt idx="3">
                  <c:v>South</c:v>
                </c:pt>
                <c:pt idx="4">
                  <c:v>West</c:v>
                </c:pt>
              </c:strCache>
            </c:strRef>
          </c:cat>
          <c:val>
            <c:numRef>
              <c:f>'REGION PERFORMANCE'!$B$4:$B$9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98F1-4494-9311-0C766C45AEFD}"/>
            </c:ext>
          </c:extLst>
        </c:ser>
        <c:dLbls>
          <c:dLblPos val="inEnd"/>
          <c:showLegendKey val="0"/>
          <c:showVal val="1"/>
          <c:showCatName val="0"/>
          <c:showSerName val="0"/>
          <c:showPercent val="0"/>
          <c:showBubbleSize val="0"/>
        </c:dLbls>
        <c:gapWidth val="65"/>
        <c:axId val="965949424"/>
        <c:axId val="965944624"/>
      </c:barChart>
      <c:catAx>
        <c:axId val="965949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965944624"/>
        <c:crosses val="autoZero"/>
        <c:auto val="1"/>
        <c:lblAlgn val="ctr"/>
        <c:lblOffset val="100"/>
        <c:noMultiLvlLbl val="0"/>
      </c:catAx>
      <c:valAx>
        <c:axId val="965944624"/>
        <c:scaling>
          <c:orientation val="minMax"/>
        </c:scaling>
        <c:delete val="0"/>
        <c:axPos val="b"/>
        <c:majorGridlines>
          <c:spPr>
            <a:ln w="9525" cap="flat" cmpd="sng" algn="ctr">
              <a:solidFill>
                <a:srgbClr val="3A38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594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[ANALYZER_EXCEL.xlsx]PRODUCT PERFORMANCE!PivotTable3</c:name>
    <c:fmtId val="16"/>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PRODUCT PERFORMANCE</a:t>
            </a:r>
          </a:p>
        </c:rich>
      </c:tx>
      <c:layout>
        <c:manualLayout>
          <c:xMode val="edge"/>
          <c:yMode val="edge"/>
          <c:x val="2.388132990225536E-2"/>
          <c:y val="2.971217210600226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4896220164260289E-2"/>
          <c:y val="0.13801376597836776"/>
          <c:w val="0.53792563600782783"/>
          <c:h val="0.8108554572271387"/>
        </c:manualLayout>
      </c:layout>
      <c:doughnutChart>
        <c:varyColors val="1"/>
        <c:ser>
          <c:idx val="0"/>
          <c:order val="0"/>
          <c:tx>
            <c:strRef>
              <c:f>'PRODUCT PERFORMANCE'!$B$3</c:f>
              <c:strCache>
                <c:ptCount val="1"/>
                <c:pt idx="0">
                  <c:v>Total</c:v>
                </c:pt>
              </c:strCache>
            </c:strRef>
          </c:tx>
          <c:spPr>
            <a:ln w="28575">
              <a:solidFill>
                <a:schemeClr val="bg1"/>
              </a:solidFill>
            </a:ln>
          </c:spPr>
          <c:dPt>
            <c:idx val="0"/>
            <c:bubble3D val="0"/>
            <c:spPr>
              <a:solidFill>
                <a:schemeClr val="accent1"/>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FA-47AC-A606-3D965604413D}"/>
              </c:ext>
            </c:extLst>
          </c:dPt>
          <c:dPt>
            <c:idx val="1"/>
            <c:bubble3D val="0"/>
            <c:spPr>
              <a:solidFill>
                <a:schemeClr val="accent2"/>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FA-47AC-A606-3D965604413D}"/>
              </c:ext>
            </c:extLst>
          </c:dPt>
          <c:dPt>
            <c:idx val="2"/>
            <c:bubble3D val="0"/>
            <c:spPr>
              <a:solidFill>
                <a:schemeClr val="accent3"/>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FA-47AC-A606-3D965604413D}"/>
              </c:ext>
            </c:extLst>
          </c:dPt>
          <c:dPt>
            <c:idx val="3"/>
            <c:bubble3D val="0"/>
            <c:spPr>
              <a:solidFill>
                <a:schemeClr val="accent4"/>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EFA-47AC-A606-3D965604413D}"/>
              </c:ext>
            </c:extLst>
          </c:dPt>
          <c:dPt>
            <c:idx val="4"/>
            <c:bubble3D val="0"/>
            <c:spPr>
              <a:solidFill>
                <a:schemeClr val="accent5"/>
              </a:solidFill>
              <a:ln w="28575">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EFA-47AC-A606-3D96560441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PERFORMANCE'!$A$4:$A$9</c:f>
              <c:strCache>
                <c:ptCount val="5"/>
                <c:pt idx="0">
                  <c:v>Books</c:v>
                </c:pt>
                <c:pt idx="1">
                  <c:v>Clothing</c:v>
                </c:pt>
                <c:pt idx="2">
                  <c:v>Electronics</c:v>
                </c:pt>
                <c:pt idx="3">
                  <c:v>Furniture</c:v>
                </c:pt>
                <c:pt idx="4">
                  <c:v>Office Supplies</c:v>
                </c:pt>
              </c:strCache>
            </c:strRef>
          </c:cat>
          <c:val>
            <c:numRef>
              <c:f>'PRODUCT PERFORMANCE'!$B$4:$B$9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722-4962-9A99-98E892B88D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285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[ANALYZER_EXCEL.xlsx]PIVOT TABLES!MONTHLY SALES</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a:t>
            </a:r>
            <a:r>
              <a:rPr lang="en-US" baseline="0">
                <a:solidFill>
                  <a:schemeClr val="bg1"/>
                </a:solidFill>
              </a:rPr>
              <a:t>  SALES</a:t>
            </a:r>
            <a:endParaRPr lang="en-US">
              <a:solidFill>
                <a:schemeClr val="bg1"/>
              </a:solidFill>
            </a:endParaRPr>
          </a:p>
        </c:rich>
      </c:tx>
      <c:layout>
        <c:manualLayout>
          <c:xMode val="edge"/>
          <c:yMode val="edge"/>
          <c:x val="4.7129373728946131E-3"/>
          <c:y val="1.03810553092628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934DFF"/>
            </a:solidFill>
            <a:round/>
          </a:ln>
          <a:effectLst/>
        </c:spPr>
        <c:marker>
          <c:symbol val="circle"/>
          <c:size val="6"/>
          <c:spPr>
            <a:solidFill>
              <a:srgbClr val="C45CF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TABLES'!$P$2</c:f>
              <c:strCache>
                <c:ptCount val="1"/>
                <c:pt idx="0">
                  <c:v>Total</c:v>
                </c:pt>
              </c:strCache>
            </c:strRef>
          </c:tx>
          <c:spPr>
            <a:ln w="28575" cap="rnd">
              <a:solidFill>
                <a:srgbClr val="934DFF"/>
              </a:solidFill>
              <a:round/>
            </a:ln>
            <a:effectLst/>
          </c:spPr>
          <c:marker>
            <c:symbol val="circle"/>
            <c:size val="6"/>
            <c:spPr>
              <a:solidFill>
                <a:srgbClr val="C45CFF"/>
              </a:solidFill>
              <a:ln w="9525">
                <a:noFill/>
              </a:ln>
              <a:effectLst/>
            </c:spPr>
          </c:marker>
          <c:cat>
            <c:strRef>
              <c:f>'PIVOT TABLES'!$O$3:$O$15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TABLES'!$P$3:$P$15</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E333-46AE-941D-3B56CD9C62E6}"/>
            </c:ext>
          </c:extLst>
        </c:ser>
        <c:dLbls>
          <c:showLegendKey val="0"/>
          <c:showVal val="0"/>
          <c:showCatName val="0"/>
          <c:showSerName val="0"/>
          <c:showPercent val="0"/>
          <c:showBubbleSize val="0"/>
        </c:dLbls>
        <c:marker val="1"/>
        <c:smooth val="0"/>
        <c:axId val="20407120"/>
        <c:axId val="20409040"/>
      </c:lineChart>
      <c:catAx>
        <c:axId val="204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09040"/>
        <c:crosses val="autoZero"/>
        <c:auto val="1"/>
        <c:lblAlgn val="ctr"/>
        <c:lblOffset val="100"/>
        <c:noMultiLvlLbl val="0"/>
      </c:catAx>
      <c:valAx>
        <c:axId val="20409040"/>
        <c:scaling>
          <c:orientation val="minMax"/>
        </c:scaling>
        <c:delete val="0"/>
        <c:axPos val="l"/>
        <c:majorGridlines>
          <c:spPr>
            <a:ln w="6350" cap="flat" cmpd="sng" algn="ctr">
              <a:solidFill>
                <a:srgbClr val="46445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0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F1E3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png"/><Relationship Id="rId12"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svg"/><Relationship Id="rId11" Type="http://schemas.openxmlformats.org/officeDocument/2006/relationships/image" Target="../media/image10.svg"/><Relationship Id="rId5" Type="http://schemas.openxmlformats.org/officeDocument/2006/relationships/image" Target="../media/image4.png"/><Relationship Id="rId15" Type="http://schemas.openxmlformats.org/officeDocument/2006/relationships/image" Target="../media/image11.png"/><Relationship Id="rId10" Type="http://schemas.openxmlformats.org/officeDocument/2006/relationships/image" Target="../media/image9.png"/><Relationship Id="rId4" Type="http://schemas.openxmlformats.org/officeDocument/2006/relationships/image" Target="../media/image3.emf"/><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276225</xdr:colOff>
      <xdr:row>1</xdr:row>
      <xdr:rowOff>127000</xdr:rowOff>
    </xdr:from>
    <xdr:to>
      <xdr:col>20</xdr:col>
      <xdr:colOff>161925</xdr:colOff>
      <xdr:row>8</xdr:row>
      <xdr:rowOff>114300</xdr:rowOff>
    </xdr:to>
    <xdr:sp macro="" textlink="">
      <xdr:nvSpPr>
        <xdr:cNvPr id="12" name="Rectangle: Rounded Corners 11">
          <a:extLst>
            <a:ext uri="{FF2B5EF4-FFF2-40B4-BE49-F238E27FC236}">
              <a16:creationId xmlns:a16="http://schemas.microsoft.com/office/drawing/2014/main" id="{FEC9EFF3-55B7-4D1E-8E5F-4F1B101B5C57}"/>
            </a:ext>
          </a:extLst>
        </xdr:cNvPr>
        <xdr:cNvSpPr/>
      </xdr:nvSpPr>
      <xdr:spPr>
        <a:xfrm>
          <a:off x="6981825" y="457200"/>
          <a:ext cx="5372100" cy="1320800"/>
        </a:xfrm>
        <a:prstGeom prst="roundRect">
          <a:avLst/>
        </a:prstGeom>
        <a:solidFill>
          <a:srgbClr val="2A29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244475</xdr:colOff>
      <xdr:row>4</xdr:row>
      <xdr:rowOff>3174</xdr:rowOff>
    </xdr:from>
    <xdr:to>
      <xdr:col>11</xdr:col>
      <xdr:colOff>187325</xdr:colOff>
      <xdr:row>8</xdr:row>
      <xdr:rowOff>107949</xdr:rowOff>
    </xdr:to>
    <xdr:sp macro="" textlink="">
      <xdr:nvSpPr>
        <xdr:cNvPr id="11" name="Rectangle: Rounded Corners 10">
          <a:extLst>
            <a:ext uri="{FF2B5EF4-FFF2-40B4-BE49-F238E27FC236}">
              <a16:creationId xmlns:a16="http://schemas.microsoft.com/office/drawing/2014/main" id="{00698A97-1375-4B4B-A1D4-FDD2EC5E375A}"/>
            </a:ext>
          </a:extLst>
        </xdr:cNvPr>
        <xdr:cNvSpPr/>
      </xdr:nvSpPr>
      <xdr:spPr>
        <a:xfrm>
          <a:off x="3292475" y="904874"/>
          <a:ext cx="3600450" cy="866775"/>
        </a:xfrm>
        <a:prstGeom prst="roundRect">
          <a:avLst/>
        </a:prstGeom>
        <a:solidFill>
          <a:srgbClr val="2A29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73025</xdr:colOff>
      <xdr:row>3</xdr:row>
      <xdr:rowOff>133350</xdr:rowOff>
    </xdr:from>
    <xdr:to>
      <xdr:col>5</xdr:col>
      <xdr:colOff>177800</xdr:colOff>
      <xdr:row>8</xdr:row>
      <xdr:rowOff>76200</xdr:rowOff>
    </xdr:to>
    <xdr:sp macro="" textlink="">
      <xdr:nvSpPr>
        <xdr:cNvPr id="9" name="Rectangle: Rounded Corners 8">
          <a:extLst>
            <a:ext uri="{FF2B5EF4-FFF2-40B4-BE49-F238E27FC236}">
              <a16:creationId xmlns:a16="http://schemas.microsoft.com/office/drawing/2014/main" id="{240FBF2B-2331-9049-0A9A-1A9AA234169C}"/>
            </a:ext>
          </a:extLst>
        </xdr:cNvPr>
        <xdr:cNvSpPr/>
      </xdr:nvSpPr>
      <xdr:spPr>
        <a:xfrm>
          <a:off x="73025" y="844550"/>
          <a:ext cx="3152775" cy="895350"/>
        </a:xfrm>
        <a:prstGeom prst="roundRect">
          <a:avLst/>
        </a:prstGeom>
        <a:solidFill>
          <a:srgbClr val="2A29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4</xdr:row>
      <xdr:rowOff>123823</xdr:rowOff>
    </xdr:from>
    <xdr:to>
      <xdr:col>4</xdr:col>
      <xdr:colOff>619125</xdr:colOff>
      <xdr:row>7</xdr:row>
      <xdr:rowOff>180974</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1834E513-6A87-440E-9461-79393F0DCF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300" y="1028698"/>
              <a:ext cx="2997200" cy="628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307974</xdr:colOff>
      <xdr:row>4</xdr:row>
      <xdr:rowOff>98426</xdr:rowOff>
    </xdr:from>
    <xdr:to>
      <xdr:col>11</xdr:col>
      <xdr:colOff>117475</xdr:colOff>
      <xdr:row>8</xdr:row>
      <xdr:rowOff>31750</xdr:rowOff>
    </xdr:to>
    <mc:AlternateContent xmlns:mc="http://schemas.openxmlformats.org/markup-compatibility/2006" xmlns:a14="http://schemas.microsoft.com/office/drawing/2010/main">
      <mc:Choice Requires="a14">
        <xdr:graphicFrame macro="">
          <xdr:nvGraphicFramePr>
            <xdr:cNvPr id="4" name="PRODUCT_CATEGORY 1">
              <a:extLst>
                <a:ext uri="{FF2B5EF4-FFF2-40B4-BE49-F238E27FC236}">
                  <a16:creationId xmlns:a16="http://schemas.microsoft.com/office/drawing/2014/main" id="{03F5A1D4-7A23-4078-96BC-D98FCE9D4C5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451224" y="1003301"/>
              <a:ext cx="3429001"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438150</xdr:colOff>
      <xdr:row>2</xdr:row>
      <xdr:rowOff>88900</xdr:rowOff>
    </xdr:from>
    <xdr:to>
      <xdr:col>20</xdr:col>
      <xdr:colOff>47625</xdr:colOff>
      <xdr:row>7</xdr:row>
      <xdr:rowOff>171448</xdr:rowOff>
    </xdr:to>
    <mc:AlternateContent xmlns:mc="http://schemas.openxmlformats.org/markup-compatibility/2006" xmlns:tsle="http://schemas.microsoft.com/office/drawing/2012/timeslicer">
      <mc:Choice Requires="tsle">
        <xdr:graphicFrame macro="">
          <xdr:nvGraphicFramePr>
            <xdr:cNvPr id="5" name="ORDER_DATE 1">
              <a:extLst>
                <a:ext uri="{FF2B5EF4-FFF2-40B4-BE49-F238E27FC236}">
                  <a16:creationId xmlns:a16="http://schemas.microsoft.com/office/drawing/2014/main" id="{739D9F16-14D7-441F-817D-C7754FCD5F86}"/>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143750" y="323849"/>
              <a:ext cx="5095875" cy="1323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104775</xdr:colOff>
      <xdr:row>13</xdr:row>
      <xdr:rowOff>85724</xdr:rowOff>
    </xdr:from>
    <xdr:to>
      <xdr:col>9</xdr:col>
      <xdr:colOff>533400</xdr:colOff>
      <xdr:row>26</xdr:row>
      <xdr:rowOff>38099</xdr:rowOff>
    </xdr:to>
    <xdr:graphicFrame macro="">
      <xdr:nvGraphicFramePr>
        <xdr:cNvPr id="6" name="Chart 5">
          <a:extLst>
            <a:ext uri="{FF2B5EF4-FFF2-40B4-BE49-F238E27FC236}">
              <a16:creationId xmlns:a16="http://schemas.microsoft.com/office/drawing/2014/main" id="{AE9F9159-1D08-47A4-B795-B2D7EE675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8</xdr:row>
      <xdr:rowOff>161925</xdr:rowOff>
    </xdr:from>
    <xdr:to>
      <xdr:col>3</xdr:col>
      <xdr:colOff>600075</xdr:colOff>
      <xdr:row>13</xdr:row>
      <xdr:rowOff>9525</xdr:rowOff>
    </xdr:to>
    <xdr:sp macro="" textlink="">
      <xdr:nvSpPr>
        <xdr:cNvPr id="8" name="Rectangle: Rounded Corners 7">
          <a:extLst>
            <a:ext uri="{FF2B5EF4-FFF2-40B4-BE49-F238E27FC236}">
              <a16:creationId xmlns:a16="http://schemas.microsoft.com/office/drawing/2014/main" id="{FF9B4623-0DB7-DB98-88E4-1BCE86A599C8}"/>
            </a:ext>
          </a:extLst>
        </xdr:cNvPr>
        <xdr:cNvSpPr/>
      </xdr:nvSpPr>
      <xdr:spPr>
        <a:xfrm>
          <a:off x="85725" y="1828800"/>
          <a:ext cx="2343150" cy="800100"/>
        </a:xfrm>
        <a:prstGeom prst="roundRect">
          <a:avLst/>
        </a:prstGeom>
        <a:solidFill>
          <a:srgbClr val="2A29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47625</xdr:colOff>
      <xdr:row>8</xdr:row>
      <xdr:rowOff>152400</xdr:rowOff>
    </xdr:from>
    <xdr:to>
      <xdr:col>1</xdr:col>
      <xdr:colOff>266700</xdr:colOff>
      <xdr:row>12</xdr:row>
      <xdr:rowOff>142875</xdr:rowOff>
    </xdr:to>
    <xdr:pic>
      <xdr:nvPicPr>
        <xdr:cNvPr id="10" name="Graphic 9" descr="Database with solid fill">
          <a:extLst>
            <a:ext uri="{FF2B5EF4-FFF2-40B4-BE49-F238E27FC236}">
              <a16:creationId xmlns:a16="http://schemas.microsoft.com/office/drawing/2014/main" id="{FD1444AE-0C5E-F081-397A-BE58082B7C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625" y="1819275"/>
          <a:ext cx="828675" cy="752475"/>
        </a:xfrm>
        <a:prstGeom prst="rect">
          <a:avLst/>
        </a:prstGeom>
      </xdr:spPr>
    </xdr:pic>
    <xdr:clientData/>
  </xdr:twoCellAnchor>
  <xdr:twoCellAnchor editAs="oneCell">
    <xdr:from>
      <xdr:col>6</xdr:col>
      <xdr:colOff>523875</xdr:colOff>
      <xdr:row>36</xdr:row>
      <xdr:rowOff>28575</xdr:rowOff>
    </xdr:from>
    <xdr:to>
      <xdr:col>9</xdr:col>
      <xdr:colOff>1</xdr:colOff>
      <xdr:row>38</xdr:row>
      <xdr:rowOff>47625</xdr:rowOff>
    </xdr:to>
    <xdr:pic>
      <xdr:nvPicPr>
        <xdr:cNvPr id="36" name="Picture 35">
          <a:extLst>
            <a:ext uri="{FF2B5EF4-FFF2-40B4-BE49-F238E27FC236}">
              <a16:creationId xmlns:a16="http://schemas.microsoft.com/office/drawing/2014/main" id="{7545D2A6-A43E-8243-3ADF-7421F5F70535}"/>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86086" t="-1142857" r="266956" b="1142857"/>
        <a:stretch/>
      </xdr:blipFill>
      <xdr:spPr bwMode="auto">
        <a:xfrm>
          <a:off x="4181475" y="6886575"/>
          <a:ext cx="1304926"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333374</xdr:colOff>
      <xdr:row>9</xdr:row>
      <xdr:rowOff>9525</xdr:rowOff>
    </xdr:from>
    <xdr:to>
      <xdr:col>3</xdr:col>
      <xdr:colOff>228599</xdr:colOff>
      <xdr:row>10</xdr:row>
      <xdr:rowOff>142875</xdr:rowOff>
    </xdr:to>
    <xdr:sp macro="" textlink="U14">
      <xdr:nvSpPr>
        <xdr:cNvPr id="40" name="TextBox 39">
          <a:extLst>
            <a:ext uri="{FF2B5EF4-FFF2-40B4-BE49-F238E27FC236}">
              <a16:creationId xmlns:a16="http://schemas.microsoft.com/office/drawing/2014/main" id="{A5832EE1-F817-1E35-2AB0-77FB9EE61377}"/>
            </a:ext>
          </a:extLst>
        </xdr:cNvPr>
        <xdr:cNvSpPr txBox="1"/>
      </xdr:nvSpPr>
      <xdr:spPr>
        <a:xfrm>
          <a:off x="942974" y="1866900"/>
          <a:ext cx="1114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B3B06A-594C-49C1-905F-BF4D852C657B}" type="TxLink">
            <a:rPr lang="en-US" sz="1400" b="1" i="0" u="none" strike="noStrike">
              <a:solidFill>
                <a:schemeClr val="bg1"/>
              </a:solidFill>
              <a:latin typeface="Aptos Narrow"/>
            </a:rPr>
            <a:pPr/>
            <a:t>$195,217.76</a:t>
          </a:fld>
          <a:endParaRPr lang="en-US" sz="1400" b="1">
            <a:solidFill>
              <a:schemeClr val="bg1"/>
            </a:solidFill>
          </a:endParaRPr>
        </a:p>
      </xdr:txBody>
    </xdr:sp>
    <xdr:clientData/>
  </xdr:twoCellAnchor>
  <xdr:twoCellAnchor>
    <xdr:from>
      <xdr:col>1</xdr:col>
      <xdr:colOff>381000</xdr:colOff>
      <xdr:row>10</xdr:row>
      <xdr:rowOff>104776</xdr:rowOff>
    </xdr:from>
    <xdr:to>
      <xdr:col>4</xdr:col>
      <xdr:colOff>9525</xdr:colOff>
      <xdr:row>12</xdr:row>
      <xdr:rowOff>9526</xdr:rowOff>
    </xdr:to>
    <xdr:sp macro="" textlink="">
      <xdr:nvSpPr>
        <xdr:cNvPr id="42" name="TextBox 41">
          <a:extLst>
            <a:ext uri="{FF2B5EF4-FFF2-40B4-BE49-F238E27FC236}">
              <a16:creationId xmlns:a16="http://schemas.microsoft.com/office/drawing/2014/main" id="{2F945ED6-04E2-FCBF-A851-150E15BFBEFD}"/>
            </a:ext>
          </a:extLst>
        </xdr:cNvPr>
        <xdr:cNvSpPr txBox="1"/>
      </xdr:nvSpPr>
      <xdr:spPr>
        <a:xfrm>
          <a:off x="990600" y="2152651"/>
          <a:ext cx="14573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14DFF"/>
              </a:solidFill>
            </a:rPr>
            <a:t>TOTAL SALES</a:t>
          </a:r>
        </a:p>
      </xdr:txBody>
    </xdr:sp>
    <xdr:clientData/>
  </xdr:twoCellAnchor>
  <xdr:twoCellAnchor>
    <xdr:from>
      <xdr:col>4</xdr:col>
      <xdr:colOff>41275</xdr:colOff>
      <xdr:row>8</xdr:row>
      <xdr:rowOff>174625</xdr:rowOff>
    </xdr:from>
    <xdr:to>
      <xdr:col>8</xdr:col>
      <xdr:colOff>50800</xdr:colOff>
      <xdr:row>13</xdr:row>
      <xdr:rowOff>12700</xdr:rowOff>
    </xdr:to>
    <xdr:sp macro="" textlink="">
      <xdr:nvSpPr>
        <xdr:cNvPr id="43" name="Rectangle: Rounded Corners 42">
          <a:extLst>
            <a:ext uri="{FF2B5EF4-FFF2-40B4-BE49-F238E27FC236}">
              <a16:creationId xmlns:a16="http://schemas.microsoft.com/office/drawing/2014/main" id="{7FBFB987-E5F5-4EC8-7B25-14FA50E711A3}"/>
            </a:ext>
          </a:extLst>
        </xdr:cNvPr>
        <xdr:cNvSpPr/>
      </xdr:nvSpPr>
      <xdr:spPr>
        <a:xfrm>
          <a:off x="2479675" y="1838325"/>
          <a:ext cx="2447925" cy="790575"/>
        </a:xfrm>
        <a:prstGeom prst="roundRect">
          <a:avLst/>
        </a:prstGeom>
        <a:solidFill>
          <a:srgbClr val="2A29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41274</xdr:colOff>
      <xdr:row>8</xdr:row>
      <xdr:rowOff>187325</xdr:rowOff>
    </xdr:from>
    <xdr:to>
      <xdr:col>5</xdr:col>
      <xdr:colOff>323849</xdr:colOff>
      <xdr:row>12</xdr:row>
      <xdr:rowOff>183472</xdr:rowOff>
    </xdr:to>
    <xdr:pic>
      <xdr:nvPicPr>
        <xdr:cNvPr id="45" name="Graphic 44" descr="Bar graph with upward trend with solid fill">
          <a:extLst>
            <a:ext uri="{FF2B5EF4-FFF2-40B4-BE49-F238E27FC236}">
              <a16:creationId xmlns:a16="http://schemas.microsoft.com/office/drawing/2014/main" id="{94679CCD-9F70-4D69-8671-6EF06A76B2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79674" y="1851025"/>
          <a:ext cx="942975" cy="758147"/>
        </a:xfrm>
        <a:prstGeom prst="rect">
          <a:avLst/>
        </a:prstGeom>
      </xdr:spPr>
    </xdr:pic>
    <xdr:clientData/>
  </xdr:twoCellAnchor>
  <xdr:twoCellAnchor>
    <xdr:from>
      <xdr:col>5</xdr:col>
      <xdr:colOff>542925</xdr:colOff>
      <xdr:row>9</xdr:row>
      <xdr:rowOff>22225</xdr:rowOff>
    </xdr:from>
    <xdr:to>
      <xdr:col>7</xdr:col>
      <xdr:colOff>400050</xdr:colOff>
      <xdr:row>10</xdr:row>
      <xdr:rowOff>98425</xdr:rowOff>
    </xdr:to>
    <xdr:sp macro="" textlink="U15">
      <xdr:nvSpPr>
        <xdr:cNvPr id="46" name="TextBox 45">
          <a:extLst>
            <a:ext uri="{FF2B5EF4-FFF2-40B4-BE49-F238E27FC236}">
              <a16:creationId xmlns:a16="http://schemas.microsoft.com/office/drawing/2014/main" id="{887F06D2-305A-C0B4-1396-B22C0F43B09D}"/>
            </a:ext>
          </a:extLst>
        </xdr:cNvPr>
        <xdr:cNvSpPr txBox="1"/>
      </xdr:nvSpPr>
      <xdr:spPr>
        <a:xfrm>
          <a:off x="3590925" y="1876425"/>
          <a:ext cx="1076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542AF9-B6BA-4E34-BEF7-48CDEEA194F6}" type="TxLink">
            <a:rPr lang="en-US" sz="1400" b="1" i="0" u="none" strike="noStrike">
              <a:solidFill>
                <a:srgbClr val="FFFFFF"/>
              </a:solidFill>
              <a:latin typeface="Aptos Narrow"/>
            </a:rPr>
            <a:pPr/>
            <a:t>$68,287.01</a:t>
          </a:fld>
          <a:endParaRPr lang="en-US" sz="1200" b="1">
            <a:solidFill>
              <a:schemeClr val="bg1"/>
            </a:solidFill>
          </a:endParaRPr>
        </a:p>
      </xdr:txBody>
    </xdr:sp>
    <xdr:clientData/>
  </xdr:twoCellAnchor>
  <xdr:twoCellAnchor>
    <xdr:from>
      <xdr:col>5</xdr:col>
      <xdr:colOff>520700</xdr:colOff>
      <xdr:row>10</xdr:row>
      <xdr:rowOff>47625</xdr:rowOff>
    </xdr:from>
    <xdr:to>
      <xdr:col>7</xdr:col>
      <xdr:colOff>587375</xdr:colOff>
      <xdr:row>11</xdr:row>
      <xdr:rowOff>123825</xdr:rowOff>
    </xdr:to>
    <xdr:sp macro="" textlink="">
      <xdr:nvSpPr>
        <xdr:cNvPr id="47" name="TextBox 46">
          <a:extLst>
            <a:ext uri="{FF2B5EF4-FFF2-40B4-BE49-F238E27FC236}">
              <a16:creationId xmlns:a16="http://schemas.microsoft.com/office/drawing/2014/main" id="{58C4075C-5935-2272-01F5-EB5A018924DE}"/>
            </a:ext>
          </a:extLst>
        </xdr:cNvPr>
        <xdr:cNvSpPr txBox="1"/>
      </xdr:nvSpPr>
      <xdr:spPr>
        <a:xfrm>
          <a:off x="3568700" y="2092325"/>
          <a:ext cx="12858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A55F7"/>
              </a:solidFill>
            </a:rPr>
            <a:t>TOTAL PROFIT</a:t>
          </a:r>
        </a:p>
      </xdr:txBody>
    </xdr:sp>
    <xdr:clientData/>
  </xdr:twoCellAnchor>
  <xdr:twoCellAnchor>
    <xdr:from>
      <xdr:col>8</xdr:col>
      <xdr:colOff>117475</xdr:colOff>
      <xdr:row>8</xdr:row>
      <xdr:rowOff>161926</xdr:rowOff>
    </xdr:from>
    <xdr:to>
      <xdr:col>12</xdr:col>
      <xdr:colOff>88900</xdr:colOff>
      <xdr:row>13</xdr:row>
      <xdr:rowOff>38100</xdr:rowOff>
    </xdr:to>
    <xdr:sp macro="" textlink="">
      <xdr:nvSpPr>
        <xdr:cNvPr id="48" name="Rectangle: Rounded Corners 47">
          <a:extLst>
            <a:ext uri="{FF2B5EF4-FFF2-40B4-BE49-F238E27FC236}">
              <a16:creationId xmlns:a16="http://schemas.microsoft.com/office/drawing/2014/main" id="{B61CCF2B-51B4-2369-532E-09FE40BEBE51}"/>
            </a:ext>
          </a:extLst>
        </xdr:cNvPr>
        <xdr:cNvSpPr/>
      </xdr:nvSpPr>
      <xdr:spPr>
        <a:xfrm>
          <a:off x="4994275" y="1825626"/>
          <a:ext cx="2409825" cy="828674"/>
        </a:xfrm>
        <a:prstGeom prst="roundRect">
          <a:avLst/>
        </a:prstGeom>
        <a:solidFill>
          <a:srgbClr val="2A29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200025</xdr:colOff>
      <xdr:row>9</xdr:row>
      <xdr:rowOff>101601</xdr:rowOff>
    </xdr:from>
    <xdr:to>
      <xdr:col>9</xdr:col>
      <xdr:colOff>209550</xdr:colOff>
      <xdr:row>12</xdr:row>
      <xdr:rowOff>149226</xdr:rowOff>
    </xdr:to>
    <xdr:pic>
      <xdr:nvPicPr>
        <xdr:cNvPr id="52" name="Picture 51">
          <a:extLst>
            <a:ext uri="{FF2B5EF4-FFF2-40B4-BE49-F238E27FC236}">
              <a16:creationId xmlns:a16="http://schemas.microsoft.com/office/drawing/2014/main" id="{3D3C6DEA-B2B6-5DE3-E78B-3CD6492E3D71}"/>
            </a:ext>
          </a:extLst>
        </xdr:cNvPr>
        <xdr:cNvPicPr>
          <a:picLocks noChangeAspect="1"/>
        </xdr:cNvPicPr>
      </xdr:nvPicPr>
      <xdr:blipFill>
        <a:blip xmlns:r="http://schemas.openxmlformats.org/officeDocument/2006/relationships" r:embed="rId7"/>
        <a:stretch>
          <a:fillRect/>
        </a:stretch>
      </xdr:blipFill>
      <xdr:spPr>
        <a:xfrm>
          <a:off x="5076825" y="1955801"/>
          <a:ext cx="619125" cy="619125"/>
        </a:xfrm>
        <a:prstGeom prst="rect">
          <a:avLst/>
        </a:prstGeom>
      </xdr:spPr>
    </xdr:pic>
    <xdr:clientData/>
  </xdr:twoCellAnchor>
  <xdr:twoCellAnchor>
    <xdr:from>
      <xdr:col>10</xdr:col>
      <xdr:colOff>12700</xdr:colOff>
      <xdr:row>9</xdr:row>
      <xdr:rowOff>15875</xdr:rowOff>
    </xdr:from>
    <xdr:to>
      <xdr:col>11</xdr:col>
      <xdr:colOff>365125</xdr:colOff>
      <xdr:row>10</xdr:row>
      <xdr:rowOff>101600</xdr:rowOff>
    </xdr:to>
    <xdr:sp macro="" textlink="$T$19">
      <xdr:nvSpPr>
        <xdr:cNvPr id="53" name="TextBox 52">
          <a:extLst>
            <a:ext uri="{FF2B5EF4-FFF2-40B4-BE49-F238E27FC236}">
              <a16:creationId xmlns:a16="http://schemas.microsoft.com/office/drawing/2014/main" id="{F7BF1DC2-1C53-5666-D855-ABC956891791}"/>
            </a:ext>
          </a:extLst>
        </xdr:cNvPr>
        <xdr:cNvSpPr txBox="1"/>
      </xdr:nvSpPr>
      <xdr:spPr>
        <a:xfrm>
          <a:off x="6108700" y="1870075"/>
          <a:ext cx="962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AF1BB3-EC43-4882-AE11-C49EEC533905}" type="TxLink">
            <a:rPr lang="en-US" sz="1400" b="1" i="0" u="none" strike="noStrike">
              <a:solidFill>
                <a:schemeClr val="bg1"/>
              </a:solidFill>
              <a:latin typeface="Aptos Narrow"/>
            </a:rPr>
            <a:pPr/>
            <a:t>$68,287</a:t>
          </a:fld>
          <a:endParaRPr lang="en-US" sz="1400" b="1">
            <a:solidFill>
              <a:schemeClr val="bg1"/>
            </a:solidFill>
          </a:endParaRPr>
        </a:p>
      </xdr:txBody>
    </xdr:sp>
    <xdr:clientData/>
  </xdr:twoCellAnchor>
  <xdr:twoCellAnchor>
    <xdr:from>
      <xdr:col>9</xdr:col>
      <xdr:colOff>469899</xdr:colOff>
      <xdr:row>10</xdr:row>
      <xdr:rowOff>41275</xdr:rowOff>
    </xdr:from>
    <xdr:to>
      <xdr:col>11</xdr:col>
      <xdr:colOff>603250</xdr:colOff>
      <xdr:row>11</xdr:row>
      <xdr:rowOff>174625</xdr:rowOff>
    </xdr:to>
    <xdr:sp macro="" textlink="">
      <xdr:nvSpPr>
        <xdr:cNvPr id="54" name="TextBox 53">
          <a:extLst>
            <a:ext uri="{FF2B5EF4-FFF2-40B4-BE49-F238E27FC236}">
              <a16:creationId xmlns:a16="http://schemas.microsoft.com/office/drawing/2014/main" id="{26F7F2D4-CF72-90DB-7A38-4384469ECA17}"/>
            </a:ext>
          </a:extLst>
        </xdr:cNvPr>
        <xdr:cNvSpPr txBox="1"/>
      </xdr:nvSpPr>
      <xdr:spPr>
        <a:xfrm>
          <a:off x="5956299" y="2085975"/>
          <a:ext cx="135255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914DFF"/>
              </a:solidFill>
            </a:rPr>
            <a:t>TOTAL QUANTITY</a:t>
          </a:r>
        </a:p>
      </xdr:txBody>
    </xdr:sp>
    <xdr:clientData/>
  </xdr:twoCellAnchor>
  <xdr:twoCellAnchor>
    <xdr:from>
      <xdr:col>12</xdr:col>
      <xdr:colOff>127000</xdr:colOff>
      <xdr:row>8</xdr:row>
      <xdr:rowOff>171450</xdr:rowOff>
    </xdr:from>
    <xdr:to>
      <xdr:col>16</xdr:col>
      <xdr:colOff>98425</xdr:colOff>
      <xdr:row>13</xdr:row>
      <xdr:rowOff>47624</xdr:rowOff>
    </xdr:to>
    <xdr:sp macro="" textlink="">
      <xdr:nvSpPr>
        <xdr:cNvPr id="55" name="Rectangle: Rounded Corners 54">
          <a:extLst>
            <a:ext uri="{FF2B5EF4-FFF2-40B4-BE49-F238E27FC236}">
              <a16:creationId xmlns:a16="http://schemas.microsoft.com/office/drawing/2014/main" id="{50A805C2-B676-4B78-BFF8-D27C07769BF8}"/>
            </a:ext>
          </a:extLst>
        </xdr:cNvPr>
        <xdr:cNvSpPr/>
      </xdr:nvSpPr>
      <xdr:spPr>
        <a:xfrm>
          <a:off x="7442200" y="1835150"/>
          <a:ext cx="2409825" cy="828674"/>
        </a:xfrm>
        <a:prstGeom prst="roundRect">
          <a:avLst/>
        </a:prstGeom>
        <a:solidFill>
          <a:srgbClr val="2A29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104775</xdr:colOff>
      <xdr:row>8</xdr:row>
      <xdr:rowOff>136525</xdr:rowOff>
    </xdr:from>
    <xdr:to>
      <xdr:col>13</xdr:col>
      <xdr:colOff>314325</xdr:colOff>
      <xdr:row>13</xdr:row>
      <xdr:rowOff>3175</xdr:rowOff>
    </xdr:to>
    <xdr:pic>
      <xdr:nvPicPr>
        <xdr:cNvPr id="57" name="Graphic 56" descr="User with solid fill">
          <a:extLst>
            <a:ext uri="{FF2B5EF4-FFF2-40B4-BE49-F238E27FC236}">
              <a16:creationId xmlns:a16="http://schemas.microsoft.com/office/drawing/2014/main" id="{90E03296-25DB-E618-2561-EF1BB4D724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419975" y="1800225"/>
          <a:ext cx="819150" cy="819150"/>
        </a:xfrm>
        <a:prstGeom prst="rect">
          <a:avLst/>
        </a:prstGeom>
      </xdr:spPr>
    </xdr:pic>
    <xdr:clientData/>
  </xdr:twoCellAnchor>
  <xdr:twoCellAnchor>
    <xdr:from>
      <xdr:col>13</xdr:col>
      <xdr:colOff>327026</xdr:colOff>
      <xdr:row>9</xdr:row>
      <xdr:rowOff>60325</xdr:rowOff>
    </xdr:from>
    <xdr:to>
      <xdr:col>15</xdr:col>
      <xdr:colOff>479426</xdr:colOff>
      <xdr:row>10</xdr:row>
      <xdr:rowOff>155575</xdr:rowOff>
    </xdr:to>
    <xdr:sp macro="" textlink="'PIVOT TABLES'!A30">
      <xdr:nvSpPr>
        <xdr:cNvPr id="58" name="TextBox 57">
          <a:extLst>
            <a:ext uri="{FF2B5EF4-FFF2-40B4-BE49-F238E27FC236}">
              <a16:creationId xmlns:a16="http://schemas.microsoft.com/office/drawing/2014/main" id="{11AFE3A6-66E5-CAAE-406E-4EAD72C3B58B}"/>
            </a:ext>
          </a:extLst>
        </xdr:cNvPr>
        <xdr:cNvSpPr txBox="1"/>
      </xdr:nvSpPr>
      <xdr:spPr>
        <a:xfrm>
          <a:off x="8251826" y="1914525"/>
          <a:ext cx="1371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B2BA82-4832-40B0-BEAA-4A18BF4B44D0}" type="TxLink">
            <a:rPr lang="en-US" sz="1400" b="1" i="0" u="none" strike="noStrike">
              <a:solidFill>
                <a:schemeClr val="bg1"/>
              </a:solidFill>
              <a:latin typeface="Aptos Narrow"/>
            </a:rPr>
            <a:pPr/>
            <a:t>David Anderson</a:t>
          </a:fld>
          <a:endParaRPr lang="en-US" sz="1400" b="1">
            <a:solidFill>
              <a:schemeClr val="bg1"/>
            </a:solidFill>
          </a:endParaRPr>
        </a:p>
      </xdr:txBody>
    </xdr:sp>
    <xdr:clientData/>
  </xdr:twoCellAnchor>
  <xdr:twoCellAnchor>
    <xdr:from>
      <xdr:col>13</xdr:col>
      <xdr:colOff>298450</xdr:colOff>
      <xdr:row>10</xdr:row>
      <xdr:rowOff>85725</xdr:rowOff>
    </xdr:from>
    <xdr:to>
      <xdr:col>15</xdr:col>
      <xdr:colOff>307975</xdr:colOff>
      <xdr:row>11</xdr:row>
      <xdr:rowOff>171450</xdr:rowOff>
    </xdr:to>
    <xdr:sp macro="" textlink="">
      <xdr:nvSpPr>
        <xdr:cNvPr id="59" name="TextBox 58">
          <a:extLst>
            <a:ext uri="{FF2B5EF4-FFF2-40B4-BE49-F238E27FC236}">
              <a16:creationId xmlns:a16="http://schemas.microsoft.com/office/drawing/2014/main" id="{3DC96D44-0756-7241-A9B5-D322BCA74F65}"/>
            </a:ext>
          </a:extLst>
        </xdr:cNvPr>
        <xdr:cNvSpPr txBox="1"/>
      </xdr:nvSpPr>
      <xdr:spPr>
        <a:xfrm>
          <a:off x="8223250" y="2130425"/>
          <a:ext cx="12287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A55F7"/>
              </a:solidFill>
            </a:rPr>
            <a:t>TOP CUSTOMER</a:t>
          </a:r>
        </a:p>
        <a:p>
          <a:endParaRPr lang="en-US" sz="1200" b="1">
            <a:solidFill>
              <a:srgbClr val="8A55F7"/>
            </a:solidFill>
          </a:endParaRPr>
        </a:p>
      </xdr:txBody>
    </xdr:sp>
    <xdr:clientData/>
  </xdr:twoCellAnchor>
  <xdr:twoCellAnchor>
    <xdr:from>
      <xdr:col>16</xdr:col>
      <xdr:colOff>142875</xdr:colOff>
      <xdr:row>8</xdr:row>
      <xdr:rowOff>158750</xdr:rowOff>
    </xdr:from>
    <xdr:to>
      <xdr:col>20</xdr:col>
      <xdr:colOff>114300</xdr:colOff>
      <xdr:row>13</xdr:row>
      <xdr:rowOff>34924</xdr:rowOff>
    </xdr:to>
    <xdr:sp macro="" textlink="">
      <xdr:nvSpPr>
        <xdr:cNvPr id="61" name="Rectangle: Rounded Corners 60">
          <a:extLst>
            <a:ext uri="{FF2B5EF4-FFF2-40B4-BE49-F238E27FC236}">
              <a16:creationId xmlns:a16="http://schemas.microsoft.com/office/drawing/2014/main" id="{6638E7A5-7461-47CA-B5E8-E31C88676578}"/>
            </a:ext>
          </a:extLst>
        </xdr:cNvPr>
        <xdr:cNvSpPr/>
      </xdr:nvSpPr>
      <xdr:spPr>
        <a:xfrm>
          <a:off x="9896475" y="1822450"/>
          <a:ext cx="2409825" cy="828674"/>
        </a:xfrm>
        <a:prstGeom prst="roundRect">
          <a:avLst/>
        </a:prstGeom>
        <a:solidFill>
          <a:srgbClr val="2A29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504825</xdr:colOff>
      <xdr:row>9</xdr:row>
      <xdr:rowOff>44450</xdr:rowOff>
    </xdr:from>
    <xdr:to>
      <xdr:col>19</xdr:col>
      <xdr:colOff>333375</xdr:colOff>
      <xdr:row>10</xdr:row>
      <xdr:rowOff>177800</xdr:rowOff>
    </xdr:to>
    <xdr:sp macro="" textlink="'PIVOT TABLES'!D30">
      <xdr:nvSpPr>
        <xdr:cNvPr id="64" name="TextBox 63">
          <a:extLst>
            <a:ext uri="{FF2B5EF4-FFF2-40B4-BE49-F238E27FC236}">
              <a16:creationId xmlns:a16="http://schemas.microsoft.com/office/drawing/2014/main" id="{0A36CA13-BD40-730A-31A1-28149364891D}"/>
            </a:ext>
          </a:extLst>
        </xdr:cNvPr>
        <xdr:cNvSpPr txBox="1"/>
      </xdr:nvSpPr>
      <xdr:spPr>
        <a:xfrm>
          <a:off x="10868025" y="1898650"/>
          <a:ext cx="10477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849DE1-0320-4EF1-9405-99BDDA645C93}" type="TxLink">
            <a:rPr lang="en-US" sz="1200" b="1" i="0" u="none" strike="noStrike">
              <a:solidFill>
                <a:schemeClr val="bg1"/>
              </a:solidFill>
              <a:latin typeface="Aptos Narrow"/>
            </a:rPr>
            <a:pPr/>
            <a:t>Office Supplies</a:t>
          </a:fld>
          <a:endParaRPr lang="en-US" sz="1200" b="1">
            <a:solidFill>
              <a:schemeClr val="bg1"/>
            </a:solidFill>
          </a:endParaRPr>
        </a:p>
      </xdr:txBody>
    </xdr:sp>
    <xdr:clientData/>
  </xdr:twoCellAnchor>
  <xdr:twoCellAnchor>
    <xdr:from>
      <xdr:col>17</xdr:col>
      <xdr:colOff>333375</xdr:colOff>
      <xdr:row>10</xdr:row>
      <xdr:rowOff>50800</xdr:rowOff>
    </xdr:from>
    <xdr:to>
      <xdr:col>19</xdr:col>
      <xdr:colOff>400050</xdr:colOff>
      <xdr:row>11</xdr:row>
      <xdr:rowOff>184150</xdr:rowOff>
    </xdr:to>
    <xdr:sp macro="" textlink="">
      <xdr:nvSpPr>
        <xdr:cNvPr id="65" name="TextBox 64">
          <a:extLst>
            <a:ext uri="{FF2B5EF4-FFF2-40B4-BE49-F238E27FC236}">
              <a16:creationId xmlns:a16="http://schemas.microsoft.com/office/drawing/2014/main" id="{6F9ADC08-34D8-8444-8A28-8BB3062776BE}"/>
            </a:ext>
          </a:extLst>
        </xdr:cNvPr>
        <xdr:cNvSpPr txBox="1"/>
      </xdr:nvSpPr>
      <xdr:spPr>
        <a:xfrm>
          <a:off x="10696575" y="2095500"/>
          <a:ext cx="12858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A55F7"/>
              </a:solidFill>
            </a:rPr>
            <a:t>TOP PRODUCT</a:t>
          </a:r>
        </a:p>
      </xdr:txBody>
    </xdr:sp>
    <xdr:clientData/>
  </xdr:twoCellAnchor>
  <xdr:twoCellAnchor editAs="oneCell">
    <xdr:from>
      <xdr:col>16</xdr:col>
      <xdr:colOff>152400</xdr:colOff>
      <xdr:row>9</xdr:row>
      <xdr:rowOff>3175</xdr:rowOff>
    </xdr:from>
    <xdr:to>
      <xdr:col>17</xdr:col>
      <xdr:colOff>295275</xdr:colOff>
      <xdr:row>12</xdr:row>
      <xdr:rowOff>184150</xdr:rowOff>
    </xdr:to>
    <xdr:pic>
      <xdr:nvPicPr>
        <xdr:cNvPr id="67" name="Graphic 66" descr="Shopping cart with solid fill">
          <a:extLst>
            <a:ext uri="{FF2B5EF4-FFF2-40B4-BE49-F238E27FC236}">
              <a16:creationId xmlns:a16="http://schemas.microsoft.com/office/drawing/2014/main" id="{1964370C-7444-B432-CB5E-5859B3C7208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06000" y="1857375"/>
          <a:ext cx="752475" cy="752475"/>
        </a:xfrm>
        <a:prstGeom prst="rect">
          <a:avLst/>
        </a:prstGeom>
      </xdr:spPr>
    </xdr:pic>
    <xdr:clientData/>
  </xdr:twoCellAnchor>
  <xdr:twoCellAnchor>
    <xdr:from>
      <xdr:col>10</xdr:col>
      <xdr:colOff>76200</xdr:colOff>
      <xdr:row>13</xdr:row>
      <xdr:rowOff>85724</xdr:rowOff>
    </xdr:from>
    <xdr:to>
      <xdr:col>19</xdr:col>
      <xdr:colOff>590550</xdr:colOff>
      <xdr:row>26</xdr:row>
      <xdr:rowOff>38099</xdr:rowOff>
    </xdr:to>
    <xdr:graphicFrame macro="">
      <xdr:nvGraphicFramePr>
        <xdr:cNvPr id="3" name="Chart 2">
          <a:extLst>
            <a:ext uri="{FF2B5EF4-FFF2-40B4-BE49-F238E27FC236}">
              <a16:creationId xmlns:a16="http://schemas.microsoft.com/office/drawing/2014/main" id="{8A080761-1DF8-48E9-AA5C-24CF0AD15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95251</xdr:colOff>
      <xdr:row>26</xdr:row>
      <xdr:rowOff>114301</xdr:rowOff>
    </xdr:from>
    <xdr:to>
      <xdr:col>9</xdr:col>
      <xdr:colOff>533400</xdr:colOff>
      <xdr:row>43</xdr:row>
      <xdr:rowOff>28575</xdr:rowOff>
    </xdr:to>
    <xdr:graphicFrame macro="">
      <xdr:nvGraphicFramePr>
        <xdr:cNvPr id="14" name="Chart 13">
          <a:extLst>
            <a:ext uri="{FF2B5EF4-FFF2-40B4-BE49-F238E27FC236}">
              <a16:creationId xmlns:a16="http://schemas.microsoft.com/office/drawing/2014/main" id="{F84540FB-27A1-4647-AD2B-3E4C8196B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95250</xdr:colOff>
      <xdr:row>26</xdr:row>
      <xdr:rowOff>104776</xdr:rowOff>
    </xdr:from>
    <xdr:to>
      <xdr:col>19</xdr:col>
      <xdr:colOff>590550</xdr:colOff>
      <xdr:row>43</xdr:row>
      <xdr:rowOff>66676</xdr:rowOff>
    </xdr:to>
    <xdr:graphicFrame macro="">
      <xdr:nvGraphicFramePr>
        <xdr:cNvPr id="15" name="Chart 14">
          <a:extLst>
            <a:ext uri="{FF2B5EF4-FFF2-40B4-BE49-F238E27FC236}">
              <a16:creationId xmlns:a16="http://schemas.microsoft.com/office/drawing/2014/main" id="{8630C87D-705D-421B-BD69-600813E8E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266700</xdr:colOff>
      <xdr:row>0</xdr:row>
      <xdr:rowOff>0</xdr:rowOff>
    </xdr:from>
    <xdr:to>
      <xdr:col>1</xdr:col>
      <xdr:colOff>546100</xdr:colOff>
      <xdr:row>3</xdr:row>
      <xdr:rowOff>88900</xdr:rowOff>
    </xdr:to>
    <xdr:pic>
      <xdr:nvPicPr>
        <xdr:cNvPr id="19" name="Picture 18">
          <a:extLst>
            <a:ext uri="{FF2B5EF4-FFF2-40B4-BE49-F238E27FC236}">
              <a16:creationId xmlns:a16="http://schemas.microsoft.com/office/drawing/2014/main" id="{39F31FBA-91BB-E0A3-3D36-30969C3D8508}"/>
            </a:ext>
          </a:extLst>
        </xdr:cNvPr>
        <xdr:cNvPicPr>
          <a:picLocks noChangeAspect="1"/>
        </xdr:cNvPicPr>
      </xdr:nvPicPr>
      <xdr:blipFill>
        <a:blip xmlns:r="http://schemas.openxmlformats.org/officeDocument/2006/relationships" r:embed="rId15"/>
        <a:stretch>
          <a:fillRect/>
        </a:stretch>
      </xdr:blipFill>
      <xdr:spPr>
        <a:xfrm>
          <a:off x="266700" y="0"/>
          <a:ext cx="889000" cy="800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314326</xdr:colOff>
      <xdr:row>13</xdr:row>
      <xdr:rowOff>142874</xdr:rowOff>
    </xdr:from>
    <xdr:to>
      <xdr:col>14</xdr:col>
      <xdr:colOff>142875</xdr:colOff>
      <xdr:row>32</xdr:row>
      <xdr:rowOff>76199</xdr:rowOff>
    </xdr:to>
    <xdr:graphicFrame macro="">
      <xdr:nvGraphicFramePr>
        <xdr:cNvPr id="2" name="Chart 1">
          <a:extLst>
            <a:ext uri="{FF2B5EF4-FFF2-40B4-BE49-F238E27FC236}">
              <a16:creationId xmlns:a16="http://schemas.microsoft.com/office/drawing/2014/main" id="{377C4471-99D8-30A3-F4AA-0D9BCA203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314324</xdr:colOff>
      <xdr:row>7</xdr:row>
      <xdr:rowOff>142875</xdr:rowOff>
    </xdr:from>
    <xdr:to>
      <xdr:col>13</xdr:col>
      <xdr:colOff>323850</xdr:colOff>
      <xdr:row>27</xdr:row>
      <xdr:rowOff>161925</xdr:rowOff>
    </xdr:to>
    <xdr:graphicFrame macro="">
      <xdr:nvGraphicFramePr>
        <xdr:cNvPr id="2" name="Chart 1">
          <a:extLst>
            <a:ext uri="{FF2B5EF4-FFF2-40B4-BE49-F238E27FC236}">
              <a16:creationId xmlns:a16="http://schemas.microsoft.com/office/drawing/2014/main" id="{ED9F1E50-1A5C-7A0B-C97F-BEA6ABD09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11</xdr:row>
      <xdr:rowOff>104776</xdr:rowOff>
    </xdr:from>
    <xdr:to>
      <xdr:col>11</xdr:col>
      <xdr:colOff>28575</xdr:colOff>
      <xdr:row>29</xdr:row>
      <xdr:rowOff>95250</xdr:rowOff>
    </xdr:to>
    <xdr:graphicFrame macro="">
      <xdr:nvGraphicFramePr>
        <xdr:cNvPr id="4" name="Chart 3">
          <a:extLst>
            <a:ext uri="{FF2B5EF4-FFF2-40B4-BE49-F238E27FC236}">
              <a16:creationId xmlns:a16="http://schemas.microsoft.com/office/drawing/2014/main" id="{A519E5C0-1C54-C5CD-2E93-1FD19C237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10</xdr:row>
      <xdr:rowOff>152401</xdr:rowOff>
    </xdr:from>
    <xdr:to>
      <xdr:col>1</xdr:col>
      <xdr:colOff>409575</xdr:colOff>
      <xdr:row>20</xdr:row>
      <xdr:rowOff>171451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3B4475C-054D-3547-0369-1AE5F16F7F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2057401"/>
              <a:ext cx="1828800" cy="192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1247775</xdr:colOff>
      <xdr:row>11</xdr:row>
      <xdr:rowOff>9525</xdr:rowOff>
    </xdr:from>
    <xdr:to>
      <xdr:col>3</xdr:col>
      <xdr:colOff>819150</xdr:colOff>
      <xdr:row>21</xdr:row>
      <xdr:rowOff>0</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45D6C473-8C13-F592-4013-1DE925A2B85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295525" y="2105025"/>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342900</xdr:colOff>
      <xdr:row>11</xdr:row>
      <xdr:rowOff>38100</xdr:rowOff>
    </xdr:from>
    <xdr:to>
      <xdr:col>9</xdr:col>
      <xdr:colOff>666750</xdr:colOff>
      <xdr:row>18</xdr:row>
      <xdr:rowOff>76200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58D5097C-BB5D-C5FA-1FD2-3D77CC608B1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629150" y="21336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857250</xdr:colOff>
      <xdr:row>17</xdr:row>
      <xdr:rowOff>76199</xdr:rowOff>
    </xdr:from>
    <xdr:to>
      <xdr:col>17</xdr:col>
      <xdr:colOff>0</xdr:colOff>
      <xdr:row>35</xdr:row>
      <xdr:rowOff>47624</xdr:rowOff>
    </xdr:to>
    <xdr:graphicFrame macro="">
      <xdr:nvGraphicFramePr>
        <xdr:cNvPr id="6" name="Chart 5">
          <a:extLst>
            <a:ext uri="{FF2B5EF4-FFF2-40B4-BE49-F238E27FC236}">
              <a16:creationId xmlns:a16="http://schemas.microsoft.com/office/drawing/2014/main" id="{90E3B47C-2ABE-74A7-ABE7-EA64481D2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esh patil" refreshedDate="46284.675099652777" createdVersion="8" refreshedVersion="8" minRefreshableVersion="3" recordCount="200" xr:uid="{7558E4DC-8F7A-453C-9C25-DFB68C38D559}">
  <cacheSource type="worksheet">
    <worksheetSource name="Table1"/>
  </cacheSource>
  <cacheFields count="12">
    <cacheField name="CUSTOMER_ID" numFmtId="2">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164">
      <sharedItems containsSemiMixedTypes="0" containsString="0" containsNumber="1" minValue="258.51" maxValue="1923.66"/>
    </cacheField>
    <cacheField name="QUANTITY" numFmtId="1">
      <sharedItems containsSemiMixedTypes="0" containsString="0" containsNumber="1" containsInteger="1" minValue="1" maxValue="19"/>
    </cacheField>
    <cacheField name="DISCOUNT" numFmtId="9">
      <sharedItems containsSemiMixedTypes="0" containsString="0" containsNumber="1" minValue="0" maxValue="0.2"/>
    </cacheField>
    <cacheField name="ORDER_DATE" numFmtId="165">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164">
      <sharedItems containsSemiMixedTypes="0" containsString="0" containsNumber="1" minValue="64.63" maxValue="769.46"/>
    </cacheField>
    <cacheField name="TOTAL_PURCHASE" numFmtId="0">
      <sharedItems containsSemiMixedTypes="0" containsString="0" containsNumber="1" minValue="2699.75" maxValue="11611.060000000001"/>
    </cacheField>
    <cacheField name="TIMESTAMP" numFmtId="165">
      <sharedItems containsSemiMixedTypes="0" containsNonDate="0" containsDate="1" containsString="0" minDate="2026-09-19T15:57:58" maxDate="2026-09-19T15:57:58"/>
    </cacheField>
    <cacheField name="Months (ORDER_DATE)" numFmtId="0" databaseField="0">
      <fieldGroup base="7">
        <rangePr groupBy="months" startDate="2024-04-10T00:00:00" endDate="2025-04-08T00:00:00"/>
        <groupItems count="14">
          <s v="&lt;4/10/2024"/>
          <s v="Jan"/>
          <s v="Feb"/>
          <s v="Mar"/>
          <s v="Apr"/>
          <s v="May"/>
          <s v="Jun"/>
          <s v="Jul"/>
          <s v="Aug"/>
          <s v="Sep"/>
          <s v="Oct"/>
          <s v="Nov"/>
          <s v="Dec"/>
          <s v="&gt;4/8/2025"/>
        </groupItems>
      </fieldGroup>
    </cacheField>
  </cacheFields>
  <extLst>
    <ext xmlns:x14="http://schemas.microsoft.com/office/spreadsheetml/2009/9/main" uri="{725AE2AE-9491-48be-B2B4-4EB974FC3084}">
      <x14:pivotCacheDefinition pivotCacheId="690629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n v="1036.0899999999999"/>
    <n v="4"/>
    <n v="0.2"/>
    <x v="0"/>
    <n v="331.55"/>
    <n v="4640.1099999999997"/>
    <d v="2026-09-19T15:57:58"/>
  </r>
  <r>
    <s v="CUST012"/>
    <x v="1"/>
    <x v="0"/>
    <x v="1"/>
    <n v="1101.28"/>
    <n v="3"/>
    <n v="0.2"/>
    <x v="1"/>
    <n v="440.51"/>
    <n v="8339"/>
    <d v="2026-09-19T15:57:58"/>
  </r>
  <r>
    <s v="CUST017"/>
    <x v="2"/>
    <x v="1"/>
    <x v="0"/>
    <n v="713.34"/>
    <n v="17"/>
    <n v="0"/>
    <x v="2"/>
    <n v="285.33999999999997"/>
    <n v="3419.2"/>
    <d v="2026-09-19T15:57:58"/>
  </r>
  <r>
    <s v="CUST005"/>
    <x v="1"/>
    <x v="2"/>
    <x v="2"/>
    <n v="760.93"/>
    <n v="4"/>
    <n v="0.15"/>
    <x v="2"/>
    <n v="161.69999999999999"/>
    <n v="6666.130000000001"/>
    <d v="2026-09-19T15:57:58"/>
  </r>
  <r>
    <s v="CUST030"/>
    <x v="3"/>
    <x v="3"/>
    <x v="0"/>
    <n v="847"/>
    <n v="12"/>
    <n v="0.2"/>
    <x v="3"/>
    <n v="271.04000000000002"/>
    <n v="7928.71"/>
    <d v="2026-09-19T15:57:58"/>
  </r>
  <r>
    <s v="CUST007"/>
    <x v="4"/>
    <x v="3"/>
    <x v="3"/>
    <n v="965.64"/>
    <n v="8"/>
    <n v="0.1"/>
    <x v="4"/>
    <n v="304.18"/>
    <n v="9941.8799999999992"/>
    <d v="2026-09-19T15:57:58"/>
  </r>
  <r>
    <s v="CUST001"/>
    <x v="5"/>
    <x v="0"/>
    <x v="2"/>
    <n v="1317.53"/>
    <n v="12"/>
    <n v="0.05"/>
    <x v="4"/>
    <n v="312.91000000000003"/>
    <n v="6549.55"/>
    <d v="2026-09-19T15:57:58"/>
  </r>
  <r>
    <s v="CUST026"/>
    <x v="6"/>
    <x v="1"/>
    <x v="3"/>
    <n v="1074.47"/>
    <n v="6"/>
    <n v="0.2"/>
    <x v="5"/>
    <n v="300.85000000000002"/>
    <n v="9371.81"/>
    <d v="2026-09-19T15:57:58"/>
  </r>
  <r>
    <s v="CUST009"/>
    <x v="7"/>
    <x v="4"/>
    <x v="0"/>
    <n v="501.54"/>
    <n v="11"/>
    <n v="0.05"/>
    <x v="5"/>
    <n v="190.59"/>
    <n v="6505.2"/>
    <d v="2026-09-19T15:57:58"/>
  </r>
  <r>
    <s v="CUST010"/>
    <x v="8"/>
    <x v="4"/>
    <x v="1"/>
    <n v="737.31"/>
    <n v="2"/>
    <n v="0.05"/>
    <x v="5"/>
    <n v="350.22"/>
    <n v="4259.22"/>
    <d v="2026-09-19T15:57:58"/>
  </r>
  <r>
    <s v="CUST014"/>
    <x v="9"/>
    <x v="0"/>
    <x v="4"/>
    <n v="1572.82"/>
    <n v="6"/>
    <n v="0.05"/>
    <x v="6"/>
    <n v="672.38"/>
    <n v="6729.8899999999994"/>
    <d v="2026-09-19T15:57:58"/>
  </r>
  <r>
    <s v="CUST014"/>
    <x v="8"/>
    <x v="4"/>
    <x v="0"/>
    <n v="1343.13"/>
    <n v="14"/>
    <n v="0.15"/>
    <x v="7"/>
    <n v="456.66"/>
    <n v="6729.8899999999994"/>
    <d v="2026-09-19T15:57:58"/>
  </r>
  <r>
    <s v="CUST007"/>
    <x v="4"/>
    <x v="4"/>
    <x v="0"/>
    <n v="1191.58"/>
    <n v="14"/>
    <n v="0.05"/>
    <x v="8"/>
    <n v="452.8"/>
    <n v="9941.8799999999992"/>
    <d v="2026-09-19T15:57:58"/>
  </r>
  <r>
    <s v="CUST023"/>
    <x v="1"/>
    <x v="0"/>
    <x v="3"/>
    <n v="822.28"/>
    <n v="7"/>
    <n v="0.05"/>
    <x v="8"/>
    <n v="273.41000000000003"/>
    <n v="5913.68"/>
    <d v="2026-09-19T15:57:58"/>
  </r>
  <r>
    <s v="CUST029"/>
    <x v="10"/>
    <x v="3"/>
    <x v="3"/>
    <n v="521.66999999999996"/>
    <n v="15"/>
    <n v="0.15"/>
    <x v="9"/>
    <n v="155.19999999999999"/>
    <n v="5779.05"/>
    <d v="2026-09-19T15:57:58"/>
  </r>
  <r>
    <s v="CUST005"/>
    <x v="11"/>
    <x v="2"/>
    <x v="2"/>
    <n v="1502.93"/>
    <n v="14"/>
    <n v="0.2"/>
    <x v="10"/>
    <n v="300.58999999999997"/>
    <n v="6666.130000000001"/>
    <d v="2026-09-19T15:57:58"/>
  </r>
  <r>
    <s v="CUST008"/>
    <x v="1"/>
    <x v="2"/>
    <x v="0"/>
    <n v="877.58"/>
    <n v="10"/>
    <n v="0.15"/>
    <x v="11"/>
    <n v="298.38"/>
    <n v="9760.7999999999993"/>
    <d v="2026-09-19T15:57:58"/>
  </r>
  <r>
    <s v="CUST001"/>
    <x v="12"/>
    <x v="0"/>
    <x v="0"/>
    <n v="636.70000000000005"/>
    <n v="4"/>
    <n v="0.2"/>
    <x v="11"/>
    <n v="203.74"/>
    <n v="6549.55"/>
    <d v="2026-09-19T15:57:58"/>
  </r>
  <r>
    <s v="CUST006"/>
    <x v="13"/>
    <x v="0"/>
    <x v="0"/>
    <n v="1506.14"/>
    <n v="13"/>
    <n v="0.2"/>
    <x v="12"/>
    <n v="481.96"/>
    <n v="2699.75"/>
    <d v="2026-09-19T15:57:58"/>
  </r>
  <r>
    <s v="CUST026"/>
    <x v="6"/>
    <x v="4"/>
    <x v="2"/>
    <n v="645.02"/>
    <n v="4"/>
    <n v="0"/>
    <x v="13"/>
    <n v="161.26"/>
    <n v="9371.81"/>
    <d v="2026-09-19T15:57:58"/>
  </r>
  <r>
    <s v="CUST007"/>
    <x v="14"/>
    <x v="2"/>
    <x v="1"/>
    <n v="953.3"/>
    <n v="11"/>
    <n v="0"/>
    <x v="14"/>
    <n v="476.65"/>
    <n v="9941.8799999999992"/>
    <d v="2026-09-19T15:57:58"/>
  </r>
  <r>
    <s v="CUST022"/>
    <x v="1"/>
    <x v="3"/>
    <x v="2"/>
    <n v="388.56"/>
    <n v="14"/>
    <n v="0.15"/>
    <x v="15"/>
    <n v="82.57"/>
    <n v="4418.2800000000007"/>
    <d v="2026-09-19T15:57:58"/>
  </r>
  <r>
    <s v="CUST019"/>
    <x v="6"/>
    <x v="0"/>
    <x v="0"/>
    <n v="743.17"/>
    <n v="9"/>
    <n v="0"/>
    <x v="15"/>
    <n v="297.27"/>
    <n v="4640.1099999999997"/>
    <d v="2026-09-19T15:57:58"/>
  </r>
  <r>
    <s v="CUST023"/>
    <x v="6"/>
    <x v="4"/>
    <x v="2"/>
    <n v="706.37"/>
    <n v="6"/>
    <n v="0"/>
    <x v="15"/>
    <n v="176.59"/>
    <n v="5913.68"/>
    <d v="2026-09-19T15:57:58"/>
  </r>
  <r>
    <s v="CUST012"/>
    <x v="6"/>
    <x v="4"/>
    <x v="4"/>
    <n v="925.31"/>
    <n v="8"/>
    <n v="0.1"/>
    <x v="16"/>
    <n v="374.75"/>
    <n v="8339"/>
    <d v="2026-09-19T15:57:58"/>
  </r>
  <r>
    <s v="CUST010"/>
    <x v="15"/>
    <x v="2"/>
    <x v="2"/>
    <n v="1173.1199999999999"/>
    <n v="18"/>
    <n v="0"/>
    <x v="16"/>
    <n v="293.27999999999997"/>
    <n v="4259.22"/>
    <d v="2026-09-19T15:57:58"/>
  </r>
  <r>
    <s v="CUST030"/>
    <x v="16"/>
    <x v="3"/>
    <x v="3"/>
    <n v="675.54"/>
    <n v="17"/>
    <n v="0"/>
    <x v="17"/>
    <n v="236.44"/>
    <n v="7928.71"/>
    <d v="2026-09-19T15:57:58"/>
  </r>
  <r>
    <s v="CUST007"/>
    <x v="1"/>
    <x v="4"/>
    <x v="0"/>
    <n v="939.09"/>
    <n v="2"/>
    <n v="0.05"/>
    <x v="18"/>
    <n v="356.85"/>
    <n v="9941.8799999999992"/>
    <d v="2026-09-19T15:57:58"/>
  </r>
  <r>
    <s v="CUST028"/>
    <x v="17"/>
    <x v="1"/>
    <x v="4"/>
    <n v="983.34"/>
    <n v="19"/>
    <n v="0.1"/>
    <x v="19"/>
    <n v="398.25"/>
    <n v="10293.870000000001"/>
    <d v="2026-09-19T15:57:58"/>
  </r>
  <r>
    <s v="CUST028"/>
    <x v="3"/>
    <x v="2"/>
    <x v="2"/>
    <n v="801.21"/>
    <n v="3"/>
    <n v="0.2"/>
    <x v="19"/>
    <n v="160.24"/>
    <n v="10293.870000000001"/>
    <d v="2026-09-19T15:57:58"/>
  </r>
  <r>
    <s v="CUST025"/>
    <x v="18"/>
    <x v="3"/>
    <x v="2"/>
    <n v="1450.71"/>
    <n v="5"/>
    <n v="0.1"/>
    <x v="20"/>
    <n v="326.41000000000003"/>
    <n v="6716.52"/>
    <d v="2026-09-19T15:57:58"/>
  </r>
  <r>
    <s v="CUST022"/>
    <x v="19"/>
    <x v="4"/>
    <x v="0"/>
    <n v="1023.21"/>
    <n v="18"/>
    <n v="0.05"/>
    <x v="21"/>
    <n v="388.82"/>
    <n v="4418.2800000000007"/>
    <d v="2026-09-19T15:57:58"/>
  </r>
  <r>
    <s v="CUST001"/>
    <x v="13"/>
    <x v="0"/>
    <x v="3"/>
    <n v="853.72"/>
    <n v="5"/>
    <n v="0.15"/>
    <x v="21"/>
    <n v="253.98"/>
    <n v="6549.55"/>
    <d v="2026-09-19T15:57:58"/>
  </r>
  <r>
    <s v="CUST021"/>
    <x v="11"/>
    <x v="2"/>
    <x v="2"/>
    <n v="967.89"/>
    <n v="10"/>
    <n v="0.1"/>
    <x v="22"/>
    <n v="217.78"/>
    <n v="8740.18"/>
    <d v="2026-09-19T15:57:58"/>
  </r>
  <r>
    <s v="CUST015"/>
    <x v="17"/>
    <x v="3"/>
    <x v="4"/>
    <n v="1200.9000000000001"/>
    <n v="14"/>
    <n v="0.05"/>
    <x v="22"/>
    <n v="513.38"/>
    <n v="11611.060000000001"/>
    <d v="2026-09-19T15:57:58"/>
  </r>
  <r>
    <s v="CUST012"/>
    <x v="4"/>
    <x v="0"/>
    <x v="0"/>
    <n v="472.38"/>
    <n v="12"/>
    <n v="0.2"/>
    <x v="22"/>
    <n v="151.16"/>
    <n v="8339"/>
    <d v="2026-09-19T15:57:58"/>
  </r>
  <r>
    <s v="CUST019"/>
    <x v="18"/>
    <x v="1"/>
    <x v="4"/>
    <n v="840.92"/>
    <n v="9"/>
    <n v="0.05"/>
    <x v="22"/>
    <n v="359.49"/>
    <n v="4640.1099999999997"/>
    <d v="2026-09-19T15:57:58"/>
  </r>
  <r>
    <s v="CUST028"/>
    <x v="14"/>
    <x v="4"/>
    <x v="3"/>
    <n v="1410.06"/>
    <n v="11"/>
    <n v="0.05"/>
    <x v="23"/>
    <n v="468.84"/>
    <n v="10293.870000000001"/>
    <d v="2026-09-19T15:57:58"/>
  </r>
  <r>
    <s v="CUST008"/>
    <x v="20"/>
    <x v="4"/>
    <x v="3"/>
    <n v="773.09"/>
    <n v="13"/>
    <n v="0.15"/>
    <x v="23"/>
    <n v="229.99"/>
    <n v="9760.7999999999993"/>
    <d v="2026-09-19T15:57:58"/>
  </r>
  <r>
    <s v="CUST016"/>
    <x v="21"/>
    <x v="1"/>
    <x v="0"/>
    <n v="580.42999999999995"/>
    <n v="19"/>
    <n v="0.15"/>
    <x v="24"/>
    <n v="197.35"/>
    <n v="3369.17"/>
    <d v="2026-09-19T15:57:58"/>
  </r>
  <r>
    <s v="CUST005"/>
    <x v="10"/>
    <x v="2"/>
    <x v="0"/>
    <n v="1151.21"/>
    <n v="15"/>
    <n v="0.1"/>
    <x v="25"/>
    <n v="414.44"/>
    <n v="6666.130000000001"/>
    <d v="2026-09-19T15:57:58"/>
  </r>
  <r>
    <s v="CUST028"/>
    <x v="3"/>
    <x v="4"/>
    <x v="4"/>
    <n v="1025.98"/>
    <n v="5"/>
    <n v="0.2"/>
    <x v="26"/>
    <n v="369.35"/>
    <n v="10293.870000000001"/>
    <d v="2026-09-19T15:57:58"/>
  </r>
  <r>
    <s v="CUST023"/>
    <x v="19"/>
    <x v="1"/>
    <x v="4"/>
    <n v="556.41999999999996"/>
    <n v="11"/>
    <n v="0.15"/>
    <x v="26"/>
    <n v="212.83"/>
    <n v="5913.68"/>
    <d v="2026-09-19T15:57:58"/>
  </r>
  <r>
    <s v="CUST021"/>
    <x v="3"/>
    <x v="4"/>
    <x v="0"/>
    <n v="840.85"/>
    <n v="19"/>
    <n v="0.1"/>
    <x v="27"/>
    <n v="302.70999999999998"/>
    <n v="8740.18"/>
    <d v="2026-09-19T15:57:58"/>
  </r>
  <r>
    <s v="CUST026"/>
    <x v="21"/>
    <x v="3"/>
    <x v="3"/>
    <n v="1227.25"/>
    <n v="12"/>
    <n v="0.15"/>
    <x v="27"/>
    <n v="365.11"/>
    <n v="9371.81"/>
    <d v="2026-09-19T15:57:58"/>
  </r>
  <r>
    <s v="CUST017"/>
    <x v="22"/>
    <x v="4"/>
    <x v="2"/>
    <n v="856.7"/>
    <n v="2"/>
    <n v="0"/>
    <x v="28"/>
    <n v="214.18"/>
    <n v="3419.2"/>
    <d v="2026-09-19T15:57:58"/>
  </r>
  <r>
    <s v="CUST025"/>
    <x v="19"/>
    <x v="4"/>
    <x v="4"/>
    <n v="1225.42"/>
    <n v="8"/>
    <n v="0.15"/>
    <x v="28"/>
    <n v="468.72"/>
    <n v="6716.52"/>
    <d v="2026-09-19T15:57:58"/>
  </r>
  <r>
    <s v="CUST011"/>
    <x v="6"/>
    <x v="3"/>
    <x v="4"/>
    <n v="1001.57"/>
    <n v="12"/>
    <n v="0"/>
    <x v="29"/>
    <n v="450.71"/>
    <n v="3762.2900000000004"/>
    <d v="2026-09-19T15:57:58"/>
  </r>
  <r>
    <s v="CUST021"/>
    <x v="4"/>
    <x v="1"/>
    <x v="3"/>
    <n v="1186.8499999999999"/>
    <n v="19"/>
    <n v="0.2"/>
    <x v="30"/>
    <n v="332.32"/>
    <n v="8740.18"/>
    <d v="2026-09-19T15:57:58"/>
  </r>
  <r>
    <s v="CUST008"/>
    <x v="16"/>
    <x v="2"/>
    <x v="2"/>
    <n v="775.45"/>
    <n v="6"/>
    <n v="0.1"/>
    <x v="31"/>
    <n v="174.48"/>
    <n v="9760.7999999999993"/>
    <d v="2026-09-19T15:57:58"/>
  </r>
  <r>
    <s v="CUST007"/>
    <x v="7"/>
    <x v="2"/>
    <x v="2"/>
    <n v="1021.47"/>
    <n v="6"/>
    <n v="0.05"/>
    <x v="32"/>
    <n v="242.6"/>
    <n v="9941.8799999999992"/>
    <d v="2026-09-19T15:57:58"/>
  </r>
  <r>
    <s v="CUST015"/>
    <x v="3"/>
    <x v="2"/>
    <x v="1"/>
    <n v="1226.6199999999999"/>
    <n v="7"/>
    <n v="0.1"/>
    <x v="33"/>
    <n v="551.98"/>
    <n v="11611.060000000001"/>
    <d v="2026-09-19T15:57:58"/>
  </r>
  <r>
    <s v="CUST030"/>
    <x v="23"/>
    <x v="2"/>
    <x v="3"/>
    <n v="1086.93"/>
    <n v="2"/>
    <n v="0"/>
    <x v="34"/>
    <n v="380.43"/>
    <n v="7928.71"/>
    <d v="2026-09-19T15:57:58"/>
  </r>
  <r>
    <s v="CUST002"/>
    <x v="14"/>
    <x v="0"/>
    <x v="0"/>
    <n v="942.9"/>
    <n v="18"/>
    <n v="0.1"/>
    <x v="35"/>
    <n v="339.44"/>
    <n v="6481.43"/>
    <d v="2026-09-19T15:57:58"/>
  </r>
  <r>
    <s v="CUST009"/>
    <x v="9"/>
    <x v="3"/>
    <x v="2"/>
    <n v="818.8"/>
    <n v="15"/>
    <n v="0.15"/>
    <x v="36"/>
    <n v="173.99"/>
    <n v="6505.2"/>
    <d v="2026-09-19T15:57:58"/>
  </r>
  <r>
    <s v="CUST005"/>
    <x v="1"/>
    <x v="2"/>
    <x v="3"/>
    <n v="919.04"/>
    <n v="10"/>
    <n v="0.2"/>
    <x v="36"/>
    <n v="257.33"/>
    <n v="6666.130000000001"/>
    <d v="2026-09-19T15:57:58"/>
  </r>
  <r>
    <s v="CUST030"/>
    <x v="24"/>
    <x v="4"/>
    <x v="0"/>
    <n v="973.26"/>
    <n v="11"/>
    <n v="0"/>
    <x v="37"/>
    <n v="389.3"/>
    <n v="7928.71"/>
    <d v="2026-09-19T15:57:58"/>
  </r>
  <r>
    <s v="CUST029"/>
    <x v="23"/>
    <x v="3"/>
    <x v="2"/>
    <n v="741.61"/>
    <n v="1"/>
    <n v="0.2"/>
    <x v="38"/>
    <n v="148.32"/>
    <n v="5779.05"/>
    <d v="2026-09-19T15:57:58"/>
  </r>
  <r>
    <s v="CUST003"/>
    <x v="9"/>
    <x v="3"/>
    <x v="0"/>
    <n v="1248.82"/>
    <n v="2"/>
    <n v="0.1"/>
    <x v="39"/>
    <n v="449.58"/>
    <n v="8490.18"/>
    <d v="2026-09-19T15:57:58"/>
  </r>
  <r>
    <s v="CUST012"/>
    <x v="20"/>
    <x v="0"/>
    <x v="1"/>
    <n v="1360.36"/>
    <n v="17"/>
    <n v="0"/>
    <x v="39"/>
    <n v="680.18"/>
    <n v="8339"/>
    <d v="2026-09-19T15:57:58"/>
  </r>
  <r>
    <s v="CUST021"/>
    <x v="6"/>
    <x v="1"/>
    <x v="0"/>
    <n v="1383.3"/>
    <n v="8"/>
    <n v="0.1"/>
    <x v="40"/>
    <n v="497.99"/>
    <n v="8740.18"/>
    <d v="2026-09-19T15:57:58"/>
  </r>
  <r>
    <s v="CUST010"/>
    <x v="18"/>
    <x v="4"/>
    <x v="4"/>
    <n v="488.99"/>
    <n v="9"/>
    <n v="0"/>
    <x v="41"/>
    <n v="220.05"/>
    <n v="4259.22"/>
    <d v="2026-09-19T15:57:58"/>
  </r>
  <r>
    <s v="CUST026"/>
    <x v="6"/>
    <x v="1"/>
    <x v="3"/>
    <n v="933.71"/>
    <n v="17"/>
    <n v="0.1"/>
    <x v="42"/>
    <n v="294.12"/>
    <n v="9371.81"/>
    <d v="2026-09-19T15:57:58"/>
  </r>
  <r>
    <s v="CUST003"/>
    <x v="0"/>
    <x v="0"/>
    <x v="2"/>
    <n v="1005.53"/>
    <n v="17"/>
    <n v="0.2"/>
    <x v="42"/>
    <n v="201.11"/>
    <n v="8490.18"/>
    <d v="2026-09-19T15:57:58"/>
  </r>
  <r>
    <s v="CUST029"/>
    <x v="21"/>
    <x v="2"/>
    <x v="2"/>
    <n v="1100.0999999999999"/>
    <n v="5"/>
    <n v="0.05"/>
    <x v="43"/>
    <n v="261.27"/>
    <n v="5779.05"/>
    <d v="2026-09-19T15:57:58"/>
  </r>
  <r>
    <s v="CUST003"/>
    <x v="3"/>
    <x v="3"/>
    <x v="3"/>
    <n v="1034.7"/>
    <n v="15"/>
    <n v="0.15"/>
    <x v="44"/>
    <n v="307.82"/>
    <n v="8490.18"/>
    <d v="2026-09-19T15:57:58"/>
  </r>
  <r>
    <s v="CUST002"/>
    <x v="6"/>
    <x v="2"/>
    <x v="0"/>
    <n v="876.44"/>
    <n v="12"/>
    <n v="0.05"/>
    <x v="45"/>
    <n v="333.05"/>
    <n v="6481.43"/>
    <d v="2026-09-19T15:57:58"/>
  </r>
  <r>
    <s v="CUST020"/>
    <x v="18"/>
    <x v="0"/>
    <x v="3"/>
    <n v="1371.34"/>
    <n v="5"/>
    <n v="0.05"/>
    <x v="45"/>
    <n v="455.97"/>
    <n v="4413.71"/>
    <d v="2026-09-19T15:57:58"/>
  </r>
  <r>
    <s v="CUST021"/>
    <x v="13"/>
    <x v="3"/>
    <x v="2"/>
    <n v="1020.26"/>
    <n v="11"/>
    <n v="0.05"/>
    <x v="46"/>
    <n v="242.31"/>
    <n v="8740.18"/>
    <d v="2026-09-19T15:57:58"/>
  </r>
  <r>
    <s v="CUST008"/>
    <x v="0"/>
    <x v="4"/>
    <x v="4"/>
    <n v="804.81"/>
    <n v="1"/>
    <n v="0.05"/>
    <x v="47"/>
    <n v="344.06"/>
    <n v="9760.7999999999993"/>
    <d v="2026-09-19T15:57:58"/>
  </r>
  <r>
    <s v="CUST030"/>
    <x v="18"/>
    <x v="4"/>
    <x v="2"/>
    <n v="608.66"/>
    <n v="1"/>
    <n v="0.05"/>
    <x v="48"/>
    <n v="144.56"/>
    <n v="7928.71"/>
    <d v="2026-09-19T15:57:58"/>
  </r>
  <r>
    <s v="CUST020"/>
    <x v="25"/>
    <x v="2"/>
    <x v="4"/>
    <n v="981.2"/>
    <n v="19"/>
    <n v="0"/>
    <x v="49"/>
    <n v="441.54"/>
    <n v="4413.71"/>
    <d v="2026-09-19T15:57:58"/>
  </r>
  <r>
    <s v="CUST024"/>
    <x v="18"/>
    <x v="1"/>
    <x v="2"/>
    <n v="539.77"/>
    <n v="10"/>
    <n v="0.15"/>
    <x v="50"/>
    <n v="114.7"/>
    <n v="7583.1299999999992"/>
    <d v="2026-09-19T15:57:58"/>
  </r>
  <r>
    <s v="CUST012"/>
    <x v="26"/>
    <x v="2"/>
    <x v="0"/>
    <n v="804.45"/>
    <n v="5"/>
    <n v="0.2"/>
    <x v="50"/>
    <n v="257.42"/>
    <n v="8339"/>
    <d v="2026-09-19T15:57:58"/>
  </r>
  <r>
    <s v="CUST024"/>
    <x v="9"/>
    <x v="0"/>
    <x v="2"/>
    <n v="1526.6"/>
    <n v="13"/>
    <n v="0.2"/>
    <x v="51"/>
    <n v="305.32"/>
    <n v="7583.1299999999992"/>
    <d v="2026-09-19T15:57:58"/>
  </r>
  <r>
    <s v="CUST012"/>
    <x v="5"/>
    <x v="0"/>
    <x v="2"/>
    <n v="1215.26"/>
    <n v="5"/>
    <n v="0.15"/>
    <x v="52"/>
    <n v="258.24"/>
    <n v="8339"/>
    <d v="2026-09-19T15:57:58"/>
  </r>
  <r>
    <s v="CUST005"/>
    <x v="17"/>
    <x v="4"/>
    <x v="3"/>
    <n v="1261.3399999999999"/>
    <n v="3"/>
    <n v="0"/>
    <x v="53"/>
    <n v="441.47"/>
    <n v="6666.130000000001"/>
    <d v="2026-09-19T15:57:58"/>
  </r>
  <r>
    <s v="CUST004"/>
    <x v="12"/>
    <x v="3"/>
    <x v="3"/>
    <n v="518.07000000000005"/>
    <n v="7"/>
    <n v="0.05"/>
    <x v="54"/>
    <n v="172.26"/>
    <n v="7813.59"/>
    <d v="2026-09-19T15:57:58"/>
  </r>
  <r>
    <s v="CUST026"/>
    <x v="5"/>
    <x v="0"/>
    <x v="4"/>
    <n v="1111.3399999999999"/>
    <n v="1"/>
    <n v="0"/>
    <x v="55"/>
    <n v="500.1"/>
    <n v="9371.81"/>
    <d v="2026-09-19T15:57:58"/>
  </r>
  <r>
    <s v="CUST030"/>
    <x v="6"/>
    <x v="1"/>
    <x v="1"/>
    <n v="1291.47"/>
    <n v="18"/>
    <n v="0.1"/>
    <x v="56"/>
    <n v="581.16"/>
    <n v="7928.71"/>
    <d v="2026-09-19T15:57:58"/>
  </r>
  <r>
    <s v="CUST007"/>
    <x v="18"/>
    <x v="3"/>
    <x v="0"/>
    <n v="679.71"/>
    <n v="19"/>
    <n v="0"/>
    <x v="57"/>
    <n v="271.88"/>
    <n v="9941.8799999999992"/>
    <d v="2026-09-19T15:57:58"/>
  </r>
  <r>
    <s v="CUST020"/>
    <x v="7"/>
    <x v="1"/>
    <x v="3"/>
    <n v="1143.69"/>
    <n v="17"/>
    <n v="0"/>
    <x v="57"/>
    <n v="400.29"/>
    <n v="4413.71"/>
    <d v="2026-09-19T15:57:58"/>
  </r>
  <r>
    <s v="CUST028"/>
    <x v="15"/>
    <x v="4"/>
    <x v="2"/>
    <n v="790.08"/>
    <n v="7"/>
    <n v="0.1"/>
    <x v="58"/>
    <n v="177.77"/>
    <n v="10293.870000000001"/>
    <d v="2026-09-19T15:57:58"/>
  </r>
  <r>
    <s v="CUST005"/>
    <x v="14"/>
    <x v="4"/>
    <x v="0"/>
    <n v="1070.68"/>
    <n v="7"/>
    <n v="0.05"/>
    <x v="58"/>
    <n v="406.86"/>
    <n v="6666.130000000001"/>
    <d v="2026-09-19T15:57:58"/>
  </r>
  <r>
    <s v="CUST015"/>
    <x v="8"/>
    <x v="0"/>
    <x v="1"/>
    <n v="1168.8900000000001"/>
    <n v="4"/>
    <n v="0.1"/>
    <x v="59"/>
    <n v="526"/>
    <n v="11611.060000000001"/>
    <d v="2026-09-19T15:57:58"/>
  </r>
  <r>
    <s v="CUST003"/>
    <x v="0"/>
    <x v="2"/>
    <x v="2"/>
    <n v="1335.87"/>
    <n v="17"/>
    <n v="0"/>
    <x v="59"/>
    <n v="333.97"/>
    <n v="8490.18"/>
    <d v="2026-09-19T15:57:58"/>
  </r>
  <r>
    <s v="CUST023"/>
    <x v="18"/>
    <x v="1"/>
    <x v="3"/>
    <n v="873.7"/>
    <n v="9"/>
    <n v="0"/>
    <x v="60"/>
    <n v="305.8"/>
    <n v="5913.68"/>
    <d v="2026-09-19T15:57:58"/>
  </r>
  <r>
    <s v="CUST004"/>
    <x v="23"/>
    <x v="0"/>
    <x v="4"/>
    <n v="1443.98"/>
    <n v="19"/>
    <n v="0"/>
    <x v="61"/>
    <n v="649.79"/>
    <n v="7813.59"/>
    <d v="2026-09-19T15:57:58"/>
  </r>
  <r>
    <s v="CUST023"/>
    <x v="3"/>
    <x v="1"/>
    <x v="4"/>
    <n v="1154.33"/>
    <n v="11"/>
    <n v="0.15"/>
    <x v="62"/>
    <n v="441.53"/>
    <n v="5913.68"/>
    <d v="2026-09-19T15:57:58"/>
  </r>
  <r>
    <s v="CUST022"/>
    <x v="15"/>
    <x v="2"/>
    <x v="0"/>
    <n v="1264.49"/>
    <n v="16"/>
    <n v="0.05"/>
    <x v="62"/>
    <n v="480.51"/>
    <n v="4418.2800000000007"/>
    <d v="2026-09-19T15:57:58"/>
  </r>
  <r>
    <s v="CUST007"/>
    <x v="24"/>
    <x v="0"/>
    <x v="3"/>
    <n v="1101.55"/>
    <n v="4"/>
    <n v="0.1"/>
    <x v="63"/>
    <n v="346.99"/>
    <n v="9941.8799999999992"/>
    <d v="2026-09-19T15:57:58"/>
  </r>
  <r>
    <s v="CUST013"/>
    <x v="1"/>
    <x v="2"/>
    <x v="3"/>
    <n v="727.73"/>
    <n v="1"/>
    <n v="0.1"/>
    <x v="64"/>
    <n v="229.23"/>
    <n v="4162.4400000000005"/>
    <d v="2026-09-19T15:57:58"/>
  </r>
  <r>
    <s v="CUST027"/>
    <x v="9"/>
    <x v="1"/>
    <x v="4"/>
    <n v="875.41"/>
    <n v="13"/>
    <n v="0.15"/>
    <x v="64"/>
    <n v="334.84"/>
    <n v="3906.04"/>
    <d v="2026-09-19T15:57:58"/>
  </r>
  <r>
    <s v="CUST003"/>
    <x v="3"/>
    <x v="0"/>
    <x v="2"/>
    <n v="1158.94"/>
    <n v="19"/>
    <n v="0.2"/>
    <x v="65"/>
    <n v="231.79"/>
    <n v="8490.18"/>
    <d v="2026-09-19T15:57:58"/>
  </r>
  <r>
    <s v="CUST018"/>
    <x v="13"/>
    <x v="2"/>
    <x v="0"/>
    <n v="966.3"/>
    <n v="2"/>
    <n v="0.15"/>
    <x v="66"/>
    <n v="328.54"/>
    <n v="4951.8899999999994"/>
    <d v="2026-09-19T15:57:58"/>
  </r>
  <r>
    <s v="CUST020"/>
    <x v="2"/>
    <x v="2"/>
    <x v="0"/>
    <n v="917.48"/>
    <n v="6"/>
    <n v="0"/>
    <x v="67"/>
    <n v="366.99"/>
    <n v="4413.71"/>
    <d v="2026-09-19T15:57:58"/>
  </r>
  <r>
    <s v="CUST029"/>
    <x v="21"/>
    <x v="0"/>
    <x v="3"/>
    <n v="1172.97"/>
    <n v="7"/>
    <n v="0.15"/>
    <x v="68"/>
    <n v="348.96"/>
    <n v="5779.05"/>
    <d v="2026-09-19T15:57:58"/>
  </r>
  <r>
    <s v="CUST021"/>
    <x v="3"/>
    <x v="3"/>
    <x v="1"/>
    <n v="1205.82"/>
    <n v="11"/>
    <n v="0.1"/>
    <x v="68"/>
    <n v="542.62"/>
    <n v="8740.18"/>
    <d v="2026-09-19T15:57:58"/>
  </r>
  <r>
    <s v="CUST017"/>
    <x v="23"/>
    <x v="0"/>
    <x v="4"/>
    <n v="826.93"/>
    <n v="10"/>
    <n v="0.2"/>
    <x v="69"/>
    <n v="297.69"/>
    <n v="3419.2"/>
    <d v="2026-09-19T15:57:58"/>
  </r>
  <r>
    <s v="CUST003"/>
    <x v="3"/>
    <x v="4"/>
    <x v="1"/>
    <n v="902.19"/>
    <n v="12"/>
    <n v="0"/>
    <x v="69"/>
    <n v="451.1"/>
    <n v="8490.18"/>
    <d v="2026-09-19T15:57:58"/>
  </r>
  <r>
    <s v="CUST027"/>
    <x v="9"/>
    <x v="3"/>
    <x v="0"/>
    <n v="585.97"/>
    <n v="17"/>
    <n v="0.1"/>
    <x v="70"/>
    <n v="210.95"/>
    <n v="3906.04"/>
    <d v="2026-09-19T15:57:58"/>
  </r>
  <r>
    <s v="CUST016"/>
    <x v="4"/>
    <x v="3"/>
    <x v="1"/>
    <n v="990.19"/>
    <n v="8"/>
    <n v="0.1"/>
    <x v="70"/>
    <n v="445.59"/>
    <n v="3369.17"/>
    <d v="2026-09-19T15:57:58"/>
  </r>
  <r>
    <s v="CUST008"/>
    <x v="19"/>
    <x v="4"/>
    <x v="2"/>
    <n v="1014.09"/>
    <n v="13"/>
    <n v="0.2"/>
    <x v="71"/>
    <n v="202.82"/>
    <n v="9760.7999999999993"/>
    <d v="2026-09-19T15:57:58"/>
  </r>
  <r>
    <s v="CUST012"/>
    <x v="14"/>
    <x v="3"/>
    <x v="2"/>
    <n v="925.29"/>
    <n v="17"/>
    <n v="0"/>
    <x v="72"/>
    <n v="231.32"/>
    <n v="8339"/>
    <d v="2026-09-19T15:57:58"/>
  </r>
  <r>
    <s v="CUST025"/>
    <x v="13"/>
    <x v="1"/>
    <x v="3"/>
    <n v="1286.54"/>
    <n v="8"/>
    <n v="0"/>
    <x v="73"/>
    <n v="450.29"/>
    <n v="6716.52"/>
    <d v="2026-09-19T15:57:58"/>
  </r>
  <r>
    <s v="CUST014"/>
    <x v="23"/>
    <x v="2"/>
    <x v="0"/>
    <n v="961.62"/>
    <n v="8"/>
    <n v="0.2"/>
    <x v="74"/>
    <n v="307.72000000000003"/>
    <n v="6729.8899999999994"/>
    <d v="2026-09-19T15:57:58"/>
  </r>
  <r>
    <s v="CUST008"/>
    <x v="3"/>
    <x v="1"/>
    <x v="0"/>
    <n v="1081.1400000000001"/>
    <n v="19"/>
    <n v="0.15"/>
    <x v="74"/>
    <n v="367.59"/>
    <n v="9760.7999999999993"/>
    <d v="2026-09-19T15:57:58"/>
  </r>
  <r>
    <s v="CUST015"/>
    <x v="3"/>
    <x v="0"/>
    <x v="1"/>
    <n v="1923.66"/>
    <n v="9"/>
    <n v="0.2"/>
    <x v="75"/>
    <n v="769.46"/>
    <n v="11611.060000000001"/>
    <d v="2026-09-19T15:57:58"/>
  </r>
  <r>
    <s v="CUST025"/>
    <x v="24"/>
    <x v="4"/>
    <x v="1"/>
    <n v="728.71"/>
    <n v="14"/>
    <n v="0.1"/>
    <x v="76"/>
    <n v="327.92"/>
    <n v="6716.52"/>
    <d v="2026-09-19T15:57:58"/>
  </r>
  <r>
    <s v="CUST019"/>
    <x v="7"/>
    <x v="4"/>
    <x v="1"/>
    <n v="1301.8900000000001"/>
    <n v="7"/>
    <n v="0.15"/>
    <x v="76"/>
    <n v="553.29999999999995"/>
    <n v="4640.1099999999997"/>
    <d v="2026-09-19T15:57:58"/>
  </r>
  <r>
    <s v="CUST024"/>
    <x v="24"/>
    <x v="1"/>
    <x v="0"/>
    <n v="980.18"/>
    <n v="16"/>
    <n v="0.1"/>
    <x v="77"/>
    <n v="352.86"/>
    <n v="7583.1299999999992"/>
    <d v="2026-09-19T15:57:58"/>
  </r>
  <r>
    <s v="CUST027"/>
    <x v="3"/>
    <x v="0"/>
    <x v="1"/>
    <n v="697.57"/>
    <n v="17"/>
    <n v="0.1"/>
    <x v="78"/>
    <n v="313.91000000000003"/>
    <n v="3906.04"/>
    <d v="2026-09-19T15:57:58"/>
  </r>
  <r>
    <s v="CUST006"/>
    <x v="26"/>
    <x v="0"/>
    <x v="3"/>
    <n v="1193.6099999999999"/>
    <n v="1"/>
    <n v="0.15"/>
    <x v="78"/>
    <n v="355.1"/>
    <n v="2699.75"/>
    <d v="2026-09-19T15:57:58"/>
  </r>
  <r>
    <s v="CUST009"/>
    <x v="9"/>
    <x v="2"/>
    <x v="2"/>
    <n v="771.02"/>
    <n v="1"/>
    <n v="0"/>
    <x v="79"/>
    <n v="192.76"/>
    <n v="6505.2"/>
    <d v="2026-09-19T15:57:58"/>
  </r>
  <r>
    <s v="CUST003"/>
    <x v="25"/>
    <x v="3"/>
    <x v="1"/>
    <n v="661.09"/>
    <n v="1"/>
    <n v="0.2"/>
    <x v="80"/>
    <n v="264.44"/>
    <n v="8490.18"/>
    <d v="2026-09-19T15:57:58"/>
  </r>
  <r>
    <s v="CUST012"/>
    <x v="18"/>
    <x v="0"/>
    <x v="2"/>
    <n v="688.83"/>
    <n v="15"/>
    <n v="0"/>
    <x v="81"/>
    <n v="172.21"/>
    <n v="8339"/>
    <d v="2026-09-19T15:57:58"/>
  </r>
  <r>
    <s v="CUST013"/>
    <x v="5"/>
    <x v="4"/>
    <x v="0"/>
    <n v="1249.0999999999999"/>
    <n v="4"/>
    <n v="0.05"/>
    <x v="82"/>
    <n v="474.66"/>
    <n v="4162.4400000000005"/>
    <d v="2026-09-19T15:57:58"/>
  </r>
  <r>
    <s v="CUST008"/>
    <x v="3"/>
    <x v="1"/>
    <x v="4"/>
    <n v="1014.22"/>
    <n v="14"/>
    <n v="0.05"/>
    <x v="83"/>
    <n v="433.58"/>
    <n v="9760.7999999999993"/>
    <d v="2026-09-19T15:57:58"/>
  </r>
  <r>
    <s v="CUST025"/>
    <x v="14"/>
    <x v="1"/>
    <x v="0"/>
    <n v="1010.58"/>
    <n v="2"/>
    <n v="0.15"/>
    <x v="84"/>
    <n v="343.6"/>
    <n v="6716.52"/>
    <d v="2026-09-19T15:57:58"/>
  </r>
  <r>
    <s v="CUST026"/>
    <x v="20"/>
    <x v="3"/>
    <x v="3"/>
    <n v="957.29"/>
    <n v="4"/>
    <n v="0.05"/>
    <x v="84"/>
    <n v="318.3"/>
    <n v="9371.81"/>
    <d v="2026-09-19T15:57:58"/>
  </r>
  <r>
    <s v="CUST001"/>
    <x v="12"/>
    <x v="3"/>
    <x v="3"/>
    <n v="1077.92"/>
    <n v="3"/>
    <n v="0.05"/>
    <x v="85"/>
    <n v="358.41"/>
    <n v="6549.55"/>
    <d v="2026-09-19T15:57:58"/>
  </r>
  <r>
    <s v="CUST028"/>
    <x v="15"/>
    <x v="2"/>
    <x v="1"/>
    <n v="1163.01"/>
    <n v="5"/>
    <n v="0"/>
    <x v="86"/>
    <n v="581.5"/>
    <n v="10293.870000000001"/>
    <d v="2026-09-19T15:57:58"/>
  </r>
  <r>
    <s v="CUST025"/>
    <x v="12"/>
    <x v="1"/>
    <x v="4"/>
    <n v="1014.56"/>
    <n v="10"/>
    <n v="0.1"/>
    <x v="87"/>
    <n v="410.9"/>
    <n v="6716.52"/>
    <d v="2026-09-19T15:57:58"/>
  </r>
  <r>
    <s v="CUST019"/>
    <x v="2"/>
    <x v="2"/>
    <x v="2"/>
    <n v="718.04"/>
    <n v="14"/>
    <n v="0"/>
    <x v="88"/>
    <n v="179.51"/>
    <n v="4640.1099999999997"/>
    <d v="2026-09-19T15:57:58"/>
  </r>
  <r>
    <s v="CUST004"/>
    <x v="2"/>
    <x v="4"/>
    <x v="1"/>
    <n v="1277.8499999999999"/>
    <n v="18"/>
    <n v="0.2"/>
    <x v="88"/>
    <n v="511.14"/>
    <n v="7813.59"/>
    <d v="2026-09-19T15:57:58"/>
  </r>
  <r>
    <s v="CUST024"/>
    <x v="3"/>
    <x v="3"/>
    <x v="2"/>
    <n v="706.73"/>
    <n v="1"/>
    <n v="0.15"/>
    <x v="88"/>
    <n v="150.18"/>
    <n v="7583.1299999999992"/>
    <d v="2026-09-19T15:57:58"/>
  </r>
  <r>
    <s v="CUST002"/>
    <x v="15"/>
    <x v="1"/>
    <x v="2"/>
    <n v="1410.59"/>
    <n v="15"/>
    <n v="0"/>
    <x v="89"/>
    <n v="352.65"/>
    <n v="6481.43"/>
    <d v="2026-09-19T15:57:58"/>
  </r>
  <r>
    <s v="CUST009"/>
    <x v="21"/>
    <x v="2"/>
    <x v="3"/>
    <n v="1350.33"/>
    <n v="10"/>
    <n v="0"/>
    <x v="89"/>
    <n v="472.62"/>
    <n v="6505.2"/>
    <d v="2026-09-19T15:57:58"/>
  </r>
  <r>
    <s v="CUST029"/>
    <x v="12"/>
    <x v="1"/>
    <x v="2"/>
    <n v="919.18"/>
    <n v="4"/>
    <n v="0.15"/>
    <x v="89"/>
    <n v="195.33"/>
    <n v="5779.05"/>
    <d v="2026-09-19T15:57:58"/>
  </r>
  <r>
    <s v="CUST027"/>
    <x v="3"/>
    <x v="0"/>
    <x v="2"/>
    <n v="258.51"/>
    <n v="19"/>
    <n v="0"/>
    <x v="90"/>
    <n v="64.63"/>
    <n v="3906.04"/>
    <d v="2026-09-19T15:57:58"/>
  </r>
  <r>
    <s v="CUST011"/>
    <x v="21"/>
    <x v="1"/>
    <x v="0"/>
    <n v="1213.48"/>
    <n v="5"/>
    <n v="0.05"/>
    <x v="90"/>
    <n v="461.12"/>
    <n v="3762.2900000000004"/>
    <d v="2026-09-19T15:57:58"/>
  </r>
  <r>
    <s v="CUST021"/>
    <x v="9"/>
    <x v="4"/>
    <x v="0"/>
    <n v="1150.28"/>
    <n v="8"/>
    <n v="0.05"/>
    <x v="91"/>
    <n v="437.11"/>
    <n v="8740.18"/>
    <d v="2026-09-19T15:57:58"/>
  </r>
  <r>
    <s v="CUST014"/>
    <x v="26"/>
    <x v="2"/>
    <x v="3"/>
    <n v="853.86"/>
    <n v="8"/>
    <n v="0.1"/>
    <x v="91"/>
    <n v="268.97000000000003"/>
    <n v="6729.8899999999994"/>
    <d v="2026-09-19T15:57:58"/>
  </r>
  <r>
    <s v="CUST018"/>
    <x v="12"/>
    <x v="2"/>
    <x v="2"/>
    <n v="1061.04"/>
    <n v="1"/>
    <n v="0"/>
    <x v="92"/>
    <n v="265.26"/>
    <n v="4951.8899999999994"/>
    <d v="2026-09-19T15:57:58"/>
  </r>
  <r>
    <s v="CUST001"/>
    <x v="11"/>
    <x v="0"/>
    <x v="2"/>
    <n v="894.55"/>
    <n v="19"/>
    <n v="0.2"/>
    <x v="93"/>
    <n v="178.91"/>
    <n v="6549.55"/>
    <d v="2026-09-19T15:57:58"/>
  </r>
  <r>
    <s v="CUST007"/>
    <x v="9"/>
    <x v="3"/>
    <x v="4"/>
    <n v="833.91"/>
    <n v="3"/>
    <n v="0.05"/>
    <x v="94"/>
    <n v="356.5"/>
    <n v="9941.8799999999992"/>
    <d v="2026-09-19T15:57:58"/>
  </r>
  <r>
    <s v="CUST015"/>
    <x v="26"/>
    <x v="0"/>
    <x v="3"/>
    <n v="820.19"/>
    <n v="4"/>
    <n v="0.2"/>
    <x v="95"/>
    <n v="229.65"/>
    <n v="11611.060000000001"/>
    <d v="2026-09-19T15:57:58"/>
  </r>
  <r>
    <s v="CUST015"/>
    <x v="9"/>
    <x v="4"/>
    <x v="2"/>
    <n v="511.74"/>
    <n v="8"/>
    <n v="0.05"/>
    <x v="96"/>
    <n v="121.54"/>
    <n v="11611.060000000001"/>
    <d v="2026-09-19T15:57:58"/>
  </r>
  <r>
    <s v="CUST002"/>
    <x v="21"/>
    <x v="2"/>
    <x v="3"/>
    <n v="806.03"/>
    <n v="19"/>
    <n v="0.05"/>
    <x v="97"/>
    <n v="268"/>
    <n v="6481.43"/>
    <d v="2026-09-19T15:57:58"/>
  </r>
  <r>
    <s v="CUST001"/>
    <x v="4"/>
    <x v="4"/>
    <x v="3"/>
    <n v="1432.47"/>
    <n v="16"/>
    <n v="0.15"/>
    <x v="98"/>
    <n v="426.16"/>
    <n v="6549.55"/>
    <d v="2026-09-19T15:57:58"/>
  </r>
  <r>
    <s v="CUST027"/>
    <x v="5"/>
    <x v="4"/>
    <x v="2"/>
    <n v="1488.58"/>
    <n v="10"/>
    <n v="0.15"/>
    <x v="98"/>
    <n v="316.32"/>
    <n v="3906.04"/>
    <d v="2026-09-19T15:57:58"/>
  </r>
  <r>
    <s v="CUST026"/>
    <x v="24"/>
    <x v="1"/>
    <x v="0"/>
    <n v="1231.26"/>
    <n v="9"/>
    <n v="0"/>
    <x v="99"/>
    <n v="492.5"/>
    <n v="9371.81"/>
    <d v="2026-09-19T15:57:58"/>
  </r>
  <r>
    <s v="CUST026"/>
    <x v="11"/>
    <x v="0"/>
    <x v="2"/>
    <n v="1161.67"/>
    <n v="19"/>
    <n v="0.2"/>
    <x v="100"/>
    <n v="232.33"/>
    <n v="9371.81"/>
    <d v="2026-09-19T15:57:58"/>
  </r>
  <r>
    <s v="CUST022"/>
    <x v="12"/>
    <x v="4"/>
    <x v="4"/>
    <n v="388.23"/>
    <n v="16"/>
    <n v="0.05"/>
    <x v="101"/>
    <n v="165.97"/>
    <n v="4418.2800000000007"/>
    <d v="2026-09-19T15:57:58"/>
  </r>
  <r>
    <s v="CUST004"/>
    <x v="6"/>
    <x v="3"/>
    <x v="1"/>
    <n v="1589.42"/>
    <n v="6"/>
    <n v="0.15"/>
    <x v="102"/>
    <n v="675.5"/>
    <n v="7813.59"/>
    <d v="2026-09-19T15:57:58"/>
  </r>
  <r>
    <s v="CUST001"/>
    <x v="26"/>
    <x v="3"/>
    <x v="1"/>
    <n v="336.66"/>
    <n v="13"/>
    <n v="0.2"/>
    <x v="102"/>
    <n v="134.66"/>
    <n v="6549.55"/>
    <d v="2026-09-19T15:57:58"/>
  </r>
  <r>
    <s v="CUST022"/>
    <x v="3"/>
    <x v="0"/>
    <x v="0"/>
    <n v="1353.79"/>
    <n v="14"/>
    <n v="0.1"/>
    <x v="103"/>
    <n v="487.36"/>
    <n v="4418.2800000000007"/>
    <d v="2026-09-19T15:57:58"/>
  </r>
  <r>
    <s v="CUST011"/>
    <x v="25"/>
    <x v="4"/>
    <x v="1"/>
    <n v="662.61"/>
    <n v="11"/>
    <n v="0.05"/>
    <x v="104"/>
    <n v="314.74"/>
    <n v="3762.2900000000004"/>
    <d v="2026-09-19T15:57:58"/>
  </r>
  <r>
    <s v="CUST028"/>
    <x v="14"/>
    <x v="3"/>
    <x v="4"/>
    <n v="309.42"/>
    <n v="1"/>
    <n v="0.2"/>
    <x v="104"/>
    <n v="111.39"/>
    <n v="10293.870000000001"/>
    <d v="2026-09-19T15:57:58"/>
  </r>
  <r>
    <s v="CUST011"/>
    <x v="5"/>
    <x v="3"/>
    <x v="0"/>
    <n v="884.63"/>
    <n v="18"/>
    <n v="0.1"/>
    <x v="105"/>
    <n v="318.47000000000003"/>
    <n v="3762.2900000000004"/>
    <d v="2026-09-19T15:57:58"/>
  </r>
  <r>
    <s v="CUST028"/>
    <x v="3"/>
    <x v="4"/>
    <x v="4"/>
    <n v="745.05"/>
    <n v="10"/>
    <n v="0.1"/>
    <x v="106"/>
    <n v="301.75"/>
    <n v="10293.870000000001"/>
    <d v="2026-09-19T15:57:58"/>
  </r>
  <r>
    <s v="CUST016"/>
    <x v="2"/>
    <x v="2"/>
    <x v="1"/>
    <n v="870.23"/>
    <n v="5"/>
    <n v="0.05"/>
    <x v="106"/>
    <n v="413.36"/>
    <n v="3369.17"/>
    <d v="2026-09-19T15:57:58"/>
  </r>
  <r>
    <s v="CUST010"/>
    <x v="5"/>
    <x v="0"/>
    <x v="3"/>
    <n v="862.19"/>
    <n v="18"/>
    <n v="0.05"/>
    <x v="107"/>
    <n v="286.68"/>
    <n v="4259.22"/>
    <d v="2026-09-19T15:57:58"/>
  </r>
  <r>
    <s v="CUST013"/>
    <x v="20"/>
    <x v="3"/>
    <x v="1"/>
    <n v="1171.18"/>
    <n v="19"/>
    <n v="0.05"/>
    <x v="108"/>
    <n v="556.30999999999995"/>
    <n v="4162.4400000000005"/>
    <d v="2026-09-19T15:57:58"/>
  </r>
  <r>
    <s v="CUST015"/>
    <x v="1"/>
    <x v="2"/>
    <x v="3"/>
    <n v="1054.56"/>
    <n v="11"/>
    <n v="0.1"/>
    <x v="109"/>
    <n v="332.19"/>
    <n v="11611.060000000001"/>
    <d v="2026-09-19T15:57:58"/>
  </r>
  <r>
    <s v="CUST015"/>
    <x v="3"/>
    <x v="3"/>
    <x v="2"/>
    <n v="1681.21"/>
    <n v="5"/>
    <n v="0.2"/>
    <x v="110"/>
    <n v="336.24"/>
    <n v="11611.060000000001"/>
    <d v="2026-09-19T15:57:58"/>
  </r>
  <r>
    <s v="CUST015"/>
    <x v="8"/>
    <x v="0"/>
    <x v="1"/>
    <n v="379.77"/>
    <n v="9"/>
    <n v="0.05"/>
    <x v="111"/>
    <n v="180.39"/>
    <n v="11611.060000000001"/>
    <d v="2026-09-19T15:57:58"/>
  </r>
  <r>
    <s v="CUST008"/>
    <x v="12"/>
    <x v="4"/>
    <x v="1"/>
    <n v="1076.33"/>
    <n v="2"/>
    <n v="0.1"/>
    <x v="112"/>
    <n v="484.35"/>
    <n v="9760.7999999999993"/>
    <d v="2026-09-19T15:57:58"/>
  </r>
  <r>
    <s v="CUST008"/>
    <x v="6"/>
    <x v="4"/>
    <x v="4"/>
    <n v="1250.71"/>
    <n v="7"/>
    <n v="0"/>
    <x v="112"/>
    <n v="562.82000000000005"/>
    <n v="9760.7999999999993"/>
    <d v="2026-09-19T15:57:58"/>
  </r>
  <r>
    <s v="CUST023"/>
    <x v="2"/>
    <x v="2"/>
    <x v="1"/>
    <n v="1118.3399999999999"/>
    <n v="6"/>
    <n v="0.2"/>
    <x v="112"/>
    <n v="447.34"/>
    <n v="5913.68"/>
    <d v="2026-09-19T15:57:58"/>
  </r>
  <r>
    <s v="CUST024"/>
    <x v="17"/>
    <x v="3"/>
    <x v="1"/>
    <n v="1622.62"/>
    <n v="12"/>
    <n v="0.2"/>
    <x v="113"/>
    <n v="649.04999999999995"/>
    <n v="7583.1299999999992"/>
    <d v="2026-09-19T15:57:58"/>
  </r>
  <r>
    <s v="CUST018"/>
    <x v="14"/>
    <x v="3"/>
    <x v="0"/>
    <n v="640.64"/>
    <n v="11"/>
    <n v="0.2"/>
    <x v="114"/>
    <n v="205"/>
    <n v="4951.8899999999994"/>
    <d v="2026-09-19T15:57:58"/>
  </r>
  <r>
    <s v="CUST030"/>
    <x v="11"/>
    <x v="0"/>
    <x v="1"/>
    <n v="585.16"/>
    <n v="17"/>
    <n v="0.1"/>
    <x v="115"/>
    <n v="263.32"/>
    <n v="7928.71"/>
    <d v="2026-09-19T15:57:58"/>
  </r>
  <r>
    <s v="CUST030"/>
    <x v="6"/>
    <x v="1"/>
    <x v="1"/>
    <n v="1109.98"/>
    <n v="5"/>
    <n v="0.2"/>
    <x v="116"/>
    <n v="443.99"/>
    <n v="7928.71"/>
    <d v="2026-09-19T15:57:58"/>
  </r>
  <r>
    <s v="CUST015"/>
    <x v="12"/>
    <x v="1"/>
    <x v="0"/>
    <n v="1098.08"/>
    <n v="9"/>
    <n v="0.1"/>
    <x v="117"/>
    <n v="395.31"/>
    <n v="11611.060000000001"/>
    <d v="2026-09-19T15:57:58"/>
  </r>
  <r>
    <s v="CUST002"/>
    <x v="14"/>
    <x v="0"/>
    <x v="4"/>
    <n v="827.25"/>
    <n v="7"/>
    <n v="0.1"/>
    <x v="118"/>
    <n v="335.04"/>
    <n v="6481.43"/>
    <d v="2026-09-19T15:57:58"/>
  </r>
  <r>
    <s v="CUST024"/>
    <x v="5"/>
    <x v="4"/>
    <x v="1"/>
    <n v="741.88"/>
    <n v="16"/>
    <n v="0.1"/>
    <x v="119"/>
    <n v="333.85"/>
    <n v="7583.1299999999992"/>
    <d v="2026-09-19T15:57:58"/>
  </r>
  <r>
    <s v="CUST004"/>
    <x v="0"/>
    <x v="1"/>
    <x v="4"/>
    <n v="1311.26"/>
    <n v="6"/>
    <n v="0.1"/>
    <x v="120"/>
    <n v="531.05999999999995"/>
    <n v="7813.59"/>
    <d v="2026-09-19T15:57:58"/>
  </r>
  <r>
    <s v="CUST004"/>
    <x v="6"/>
    <x v="2"/>
    <x v="4"/>
    <n v="573.32000000000005"/>
    <n v="19"/>
    <n v="0.1"/>
    <x v="121"/>
    <n v="232.19"/>
    <n v="7813.59"/>
    <d v="2026-09-19T15:57:58"/>
  </r>
  <r>
    <s v="CUST028"/>
    <x v="3"/>
    <x v="0"/>
    <x v="2"/>
    <n v="1115.22"/>
    <n v="14"/>
    <n v="0.2"/>
    <x v="122"/>
    <n v="223.04"/>
    <n v="10293.870000000001"/>
    <d v="2026-09-19T15:57:58"/>
  </r>
  <r>
    <s v="CUST012"/>
    <x v="12"/>
    <x v="3"/>
    <x v="1"/>
    <n v="845.84"/>
    <n v="4"/>
    <n v="0"/>
    <x v="123"/>
    <n v="422.92"/>
    <n v="8339"/>
    <d v="2026-09-19T15:57:58"/>
  </r>
  <r>
    <s v="CUST026"/>
    <x v="18"/>
    <x v="0"/>
    <x v="2"/>
    <n v="1029.8"/>
    <n v="3"/>
    <n v="0"/>
    <x v="124"/>
    <n v="257.45"/>
    <n v="9371.81"/>
    <d v="2026-09-19T15:57:58"/>
  </r>
  <r>
    <s v="CUST009"/>
    <x v="6"/>
    <x v="3"/>
    <x v="0"/>
    <n v="1189.83"/>
    <n v="2"/>
    <n v="0.2"/>
    <x v="125"/>
    <n v="380.75"/>
    <n v="6505.2"/>
    <d v="2026-09-19T15:57:58"/>
  </r>
  <r>
    <s v="CUST003"/>
    <x v="11"/>
    <x v="2"/>
    <x v="0"/>
    <n v="704.28"/>
    <n v="15"/>
    <n v="0.2"/>
    <x v="126"/>
    <n v="225.37"/>
    <n v="8490.18"/>
    <d v="2026-09-19T15:57:58"/>
  </r>
  <r>
    <s v="CUST002"/>
    <x v="13"/>
    <x v="4"/>
    <x v="4"/>
    <n v="1618.22"/>
    <n v="12"/>
    <n v="0.2"/>
    <x v="126"/>
    <n v="582.55999999999995"/>
    <n v="6481.43"/>
    <d v="2026-09-19T15:57:58"/>
  </r>
  <r>
    <s v="CUST013"/>
    <x v="17"/>
    <x v="4"/>
    <x v="0"/>
    <n v="1014.43"/>
    <n v="2"/>
    <n v="0.15"/>
    <x v="127"/>
    <n v="344.91"/>
    <n v="4162.4400000000005"/>
    <d v="2026-09-19T15:57:58"/>
  </r>
  <r>
    <s v="CUST018"/>
    <x v="6"/>
    <x v="4"/>
    <x v="1"/>
    <n v="826.97"/>
    <n v="18"/>
    <n v="0.2"/>
    <x v="128"/>
    <n v="330.79"/>
    <n v="4951.8899999999994"/>
    <d v="2026-09-19T15:57:58"/>
  </r>
  <r>
    <s v="CUST017"/>
    <x v="6"/>
    <x v="4"/>
    <x v="1"/>
    <n v="1022.23"/>
    <n v="8"/>
    <n v="0.1"/>
    <x v="129"/>
    <n v="460"/>
    <n v="3419.2"/>
    <d v="2026-09-19T15:57:58"/>
  </r>
  <r>
    <s v="CUST004"/>
    <x v="5"/>
    <x v="1"/>
    <x v="0"/>
    <n v="1099.69"/>
    <n v="6"/>
    <n v="0"/>
    <x v="130"/>
    <n v="439.88"/>
    <n v="7813.59"/>
    <d v="2026-09-19T15:57:58"/>
  </r>
  <r>
    <s v="CUST028"/>
    <x v="23"/>
    <x v="3"/>
    <x v="0"/>
    <n v="710.52"/>
    <n v="8"/>
    <n v="0.1"/>
    <x v="131"/>
    <n v="255.79"/>
    <n v="10293.870000000001"/>
    <d v="2026-09-19T15:57:58"/>
  </r>
  <r>
    <s v="CUST028"/>
    <x v="20"/>
    <x v="3"/>
    <x v="0"/>
    <n v="499.18"/>
    <n v="15"/>
    <n v="0.2"/>
    <x v="132"/>
    <n v="159.74"/>
    <n v="10293.870000000001"/>
    <d v="2026-09-19T15:57:58"/>
  </r>
  <r>
    <s v="CUST014"/>
    <x v="9"/>
    <x v="2"/>
    <x v="0"/>
    <n v="1064.19"/>
    <n v="18"/>
    <n v="0.05"/>
    <x v="133"/>
    <n v="404.39"/>
    <n v="6729.8899999999994"/>
    <d v="2026-09-19T15:57:58"/>
  </r>
  <r>
    <s v="CUST003"/>
    <x v="9"/>
    <x v="1"/>
    <x v="4"/>
    <n v="438.76"/>
    <n v="18"/>
    <n v="0.05"/>
    <x v="134"/>
    <n v="187.57"/>
    <n v="8490.18"/>
    <d v="2026-09-19T15:57:58"/>
  </r>
  <r>
    <s v="CUST029"/>
    <x v="18"/>
    <x v="0"/>
    <x v="1"/>
    <n v="864.98"/>
    <n v="2"/>
    <n v="0.05"/>
    <x v="135"/>
    <n v="410.87"/>
    <n v="5779.05"/>
    <d v="2026-09-19T15:57:58"/>
  </r>
  <r>
    <s v="CUST021"/>
    <x v="18"/>
    <x v="0"/>
    <x v="3"/>
    <n v="984.93"/>
    <n v="14"/>
    <n v="0.2"/>
    <x v="136"/>
    <n v="275.77999999999997"/>
    <n v="8740.18"/>
    <d v="2026-09-19T15:57:58"/>
  </r>
  <r>
    <s v="CUST007"/>
    <x v="18"/>
    <x v="0"/>
    <x v="1"/>
    <n v="1493.49"/>
    <n v="18"/>
    <n v="0"/>
    <x v="137"/>
    <n v="746.74"/>
    <n v="9941.8799999999992"/>
    <d v="2026-09-19T15:57:58"/>
  </r>
  <r>
    <s v="CUST009"/>
    <x v="17"/>
    <x v="2"/>
    <x v="1"/>
    <n v="689.43"/>
    <n v="9"/>
    <n v="0.1"/>
    <x v="138"/>
    <n v="310.24"/>
    <n v="6505.2"/>
    <d v="2026-09-19T15:57:58"/>
  </r>
  <r>
    <s v="CUST023"/>
    <x v="20"/>
    <x v="2"/>
    <x v="1"/>
    <n v="682.24"/>
    <n v="1"/>
    <n v="0"/>
    <x v="139"/>
    <n v="341.12"/>
    <n v="5913.68"/>
    <d v="2026-09-19T15:57:58"/>
  </r>
  <r>
    <s v="CUST029"/>
    <x v="4"/>
    <x v="3"/>
    <x v="2"/>
    <n v="458.54"/>
    <n v="15"/>
    <n v="0.2"/>
    <x v="140"/>
    <n v="91.71"/>
    <n v="5779.05"/>
    <d v="2026-09-19T15:57:58"/>
  </r>
  <r>
    <s v="CUST009"/>
    <x v="4"/>
    <x v="2"/>
    <x v="3"/>
    <n v="1184.25"/>
    <n v="11"/>
    <n v="0.2"/>
    <x v="141"/>
    <n v="331.59"/>
    <n v="6505.2"/>
    <d v="2026-09-19T15:57:58"/>
  </r>
  <r>
    <s v="CUST007"/>
    <x v="0"/>
    <x v="2"/>
    <x v="1"/>
    <n v="762.14"/>
    <n v="9"/>
    <n v="0"/>
    <x v="142"/>
    <n v="381.07"/>
    <n v="9941.8799999999992"/>
    <d v="2026-09-19T15:57:58"/>
  </r>
  <r>
    <s v="CUST030"/>
    <x v="17"/>
    <x v="3"/>
    <x v="0"/>
    <n v="750.71"/>
    <n v="10"/>
    <n v="0.15"/>
    <x v="142"/>
    <n v="255.24"/>
    <n v="7928.71"/>
    <d v="2026-09-19T15:57:58"/>
  </r>
  <r>
    <s v="CUST018"/>
    <x v="26"/>
    <x v="4"/>
    <x v="1"/>
    <n v="1456.94"/>
    <n v="14"/>
    <n v="0.05"/>
    <x v="143"/>
    <n v="692.05"/>
    <n v="4951.8899999999994"/>
    <d v="2026-09-19T15:57:58"/>
  </r>
  <r>
    <s v="CUST008"/>
    <x v="21"/>
    <x v="1"/>
    <x v="3"/>
    <n v="1093.3800000000001"/>
    <n v="17"/>
    <n v="0.1"/>
    <x v="143"/>
    <n v="344.41"/>
    <n v="9760.7999999999993"/>
    <d v="2026-09-19T15:57:58"/>
  </r>
  <r>
    <s v="CUST014"/>
    <x v="11"/>
    <x v="0"/>
    <x v="1"/>
    <n v="934.27"/>
    <n v="8"/>
    <n v="0.15"/>
    <x v="144"/>
    <n v="397.06"/>
    <n v="6729.8899999999994"/>
    <d v="2026-09-19T15:57:58"/>
  </r>
  <r>
    <s v="CUST024"/>
    <x v="8"/>
    <x v="4"/>
    <x v="1"/>
    <n v="1465.35"/>
    <n v="8"/>
    <n v="0.2"/>
    <x v="144"/>
    <n v="586.14"/>
    <n v="7583.1299999999992"/>
    <d v="2026-09-19T15:57:58"/>
  </r>
  <r>
    <s v="CUST028"/>
    <x v="1"/>
    <x v="2"/>
    <x v="4"/>
    <n v="740.8"/>
    <n v="3"/>
    <n v="0"/>
    <x v="145"/>
    <n v="333.36"/>
    <n v="10293.870000000001"/>
    <d v="2026-09-19T15:57:58"/>
  </r>
  <r>
    <s v="CUST015"/>
    <x v="11"/>
    <x v="0"/>
    <x v="4"/>
    <n v="545.44000000000005"/>
    <n v="17"/>
    <n v="0"/>
    <x v="146"/>
    <n v="245.45"/>
    <n v="11611.060000000001"/>
    <d v="2026-09-19T15:57:58"/>
  </r>
  <r>
    <s v="CUST010"/>
    <x v="8"/>
    <x v="1"/>
    <x v="0"/>
    <n v="997.61"/>
    <n v="8"/>
    <n v="0.05"/>
    <x v="146"/>
    <n v="379.09"/>
    <n v="4259.22"/>
    <d v="2026-09-19T15:57:58"/>
  </r>
  <r>
    <s v="CUST016"/>
    <x v="8"/>
    <x v="2"/>
    <x v="1"/>
    <n v="928.32"/>
    <n v="2"/>
    <n v="0.05"/>
    <x v="147"/>
    <n v="440.95"/>
    <n v="3369.17"/>
    <d v="2026-09-19T15:57: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15F2E-663C-4548-9BD0-E00A14D4EDC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G10" firstHeaderRow="1" firstDataRow="2" firstDataCol="1"/>
  <pivotFields count="12">
    <pivotField showAll="0"/>
    <pivotField showAll="0"/>
    <pivotField axis="axisRow" showAll="0">
      <items count="6">
        <item x="4"/>
        <item x="1"/>
        <item x="3"/>
        <item x="2"/>
        <item x="0"/>
        <item t="default"/>
      </items>
    </pivotField>
    <pivotField axis="axisCol" showAll="0" sortType="descending">
      <items count="6">
        <item x="4"/>
        <item x="3"/>
        <item x="2"/>
        <item x="1"/>
        <item x="0"/>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24">
    <format dxfId="319">
      <pivotArea type="all" dataOnly="0" outline="0" fieldPosition="0"/>
    </format>
    <format dxfId="318">
      <pivotArea outline="0" collapsedLevelsAreSubtotals="1" fieldPosition="0"/>
    </format>
    <format dxfId="317">
      <pivotArea type="origin" dataOnly="0" labelOnly="1" outline="0" fieldPosition="0"/>
    </format>
    <format dxfId="316">
      <pivotArea field="3" type="button" dataOnly="0" labelOnly="1" outline="0" axis="axisCol" fieldPosition="0"/>
    </format>
    <format dxfId="315">
      <pivotArea type="topRight" dataOnly="0" labelOnly="1" outline="0" fieldPosition="0"/>
    </format>
    <format dxfId="314">
      <pivotArea field="2" type="button" dataOnly="0" labelOnly="1" outline="0" axis="axisRow" fieldPosition="0"/>
    </format>
    <format dxfId="313">
      <pivotArea dataOnly="0" labelOnly="1" fieldPosition="0">
        <references count="1">
          <reference field="2" count="0"/>
        </references>
      </pivotArea>
    </format>
    <format dxfId="312">
      <pivotArea dataOnly="0" labelOnly="1" grandRow="1" outline="0" fieldPosition="0"/>
    </format>
    <format dxfId="311">
      <pivotArea dataOnly="0" labelOnly="1" fieldPosition="0">
        <references count="1">
          <reference field="3" count="0"/>
        </references>
      </pivotArea>
    </format>
    <format dxfId="310">
      <pivotArea dataOnly="0" labelOnly="1" grandCol="1" outline="0" fieldPosition="0"/>
    </format>
    <format dxfId="309">
      <pivotArea type="origin" dataOnly="0" labelOnly="1" outline="0" fieldPosition="0"/>
    </format>
    <format dxfId="308">
      <pivotArea field="3" type="button" dataOnly="0" labelOnly="1" outline="0" axis="axisCol" fieldPosition="0"/>
    </format>
    <format dxfId="307">
      <pivotArea field="2" type="button" dataOnly="0" labelOnly="1" outline="0" axis="axisRow" fieldPosition="0"/>
    </format>
    <format dxfId="306">
      <pivotArea dataOnly="0" labelOnly="1" fieldPosition="0">
        <references count="1">
          <reference field="3" count="1">
            <x v="4"/>
          </reference>
        </references>
      </pivotArea>
    </format>
    <format dxfId="305">
      <pivotArea type="all" dataOnly="0" outline="0" fieldPosition="0"/>
    </format>
    <format dxfId="304">
      <pivotArea outline="0" collapsedLevelsAreSubtotals="1" fieldPosition="0"/>
    </format>
    <format dxfId="303">
      <pivotArea type="origin" dataOnly="0" labelOnly="1" outline="0" fieldPosition="0"/>
    </format>
    <format dxfId="302">
      <pivotArea field="3" type="button" dataOnly="0" labelOnly="1" outline="0" axis="axisCol" fieldPosition="0"/>
    </format>
    <format dxfId="301">
      <pivotArea type="topRight" dataOnly="0" labelOnly="1" outline="0" fieldPosition="0"/>
    </format>
    <format dxfId="300">
      <pivotArea field="2" type="button" dataOnly="0" labelOnly="1" outline="0" axis="axisRow" fieldPosition="0"/>
    </format>
    <format dxfId="299">
      <pivotArea dataOnly="0" labelOnly="1" fieldPosition="0">
        <references count="1">
          <reference field="2" count="0"/>
        </references>
      </pivotArea>
    </format>
    <format dxfId="298">
      <pivotArea dataOnly="0" labelOnly="1" grandRow="1" outline="0" fieldPosition="0"/>
    </format>
    <format dxfId="297">
      <pivotArea dataOnly="0" labelOnly="1" fieldPosition="0">
        <references count="1">
          <reference field="3" count="0"/>
        </references>
      </pivotArea>
    </format>
    <format dxfId="296">
      <pivotArea dataOnly="0" labelOnly="1" grandCol="1" outline="0" fieldPosition="0"/>
    </format>
  </formats>
  <chartFormats count="17">
    <chartFormat chart="0" format="0" series="1">
      <pivotArea type="data" outline="0" fieldPosition="0">
        <references count="2">
          <reference field="4294967294" count="1" selected="0">
            <x v="0"/>
          </reference>
          <reference field="3" count="1" selected="0">
            <x v="4"/>
          </reference>
        </references>
      </pivotArea>
    </chartFormat>
    <chartFormat chart="0" format="1" series="1">
      <pivotArea type="data" outline="0" fieldPosition="0">
        <references count="2">
          <reference field="4294967294" count="1" selected="0">
            <x v="0"/>
          </reference>
          <reference field="3" count="1" selected="0">
            <x v="3"/>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0"/>
          </reference>
        </references>
      </pivotArea>
    </chartFormat>
    <chartFormat chart="0" format="5"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2">
          <reference field="4294967294" count="1" selected="0">
            <x v="0"/>
          </reference>
          <reference field="3" count="1" selected="0">
            <x v="4"/>
          </reference>
        </references>
      </pivotArea>
    </chartFormat>
    <chartFormat chart="6" format="11" series="1">
      <pivotArea type="data" outline="0" fieldPosition="0">
        <references count="2">
          <reference field="4294967294" count="1" selected="0">
            <x v="0"/>
          </reference>
          <reference field="3" count="1" selected="0">
            <x v="0"/>
          </reference>
        </references>
      </pivotArea>
    </chartFormat>
    <chartFormat chart="6" format="12" series="1">
      <pivotArea type="data" outline="0" fieldPosition="0">
        <references count="2">
          <reference field="4294967294" count="1" selected="0">
            <x v="0"/>
          </reference>
          <reference field="3" count="1" selected="0">
            <x v="1"/>
          </reference>
        </references>
      </pivotArea>
    </chartFormat>
    <chartFormat chart="6" format="13" series="1">
      <pivotArea type="data" outline="0" fieldPosition="0">
        <references count="2">
          <reference field="4294967294" count="1" selected="0">
            <x v="0"/>
          </reference>
          <reference field="3" count="1" selected="0">
            <x v="2"/>
          </reference>
        </references>
      </pivotArea>
    </chartFormat>
    <chartFormat chart="6" format="14" series="1">
      <pivotArea type="data" outline="0" fieldPosition="0">
        <references count="2">
          <reference field="4294967294" count="1" selected="0">
            <x v="0"/>
          </reference>
          <reference field="3" count="1" selected="0">
            <x v="3"/>
          </reference>
        </references>
      </pivotArea>
    </chartFormat>
    <chartFormat chart="6" format="15" series="1">
      <pivotArea type="data" outline="0" fieldPosition="0">
        <references count="2">
          <reference field="4294967294" count="1" selected="0">
            <x v="0"/>
          </reference>
          <reference field="3" count="1" selected="0">
            <x v="4"/>
          </reference>
        </references>
      </pivotArea>
    </chartFormat>
    <chartFormat chart="6"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6E904-0B9A-40AF-A0AB-648D9C28027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12">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F893E-765B-4306-9AFC-B5EEF0C1BDD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3:B9" firstHeaderRow="1" firstDataRow="1" firstDataCol="1"/>
  <pivotFields count="12">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13">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3" count="1" selected="0">
            <x v="0"/>
          </reference>
        </references>
      </pivotArea>
    </chartFormat>
    <chartFormat chart="30" format="9">
      <pivotArea type="data" outline="0" fieldPosition="0">
        <references count="2">
          <reference field="4294967294" count="1" selected="0">
            <x v="0"/>
          </reference>
          <reference field="3" count="1" selected="0">
            <x v="1"/>
          </reference>
        </references>
      </pivotArea>
    </chartFormat>
    <chartFormat chart="30" format="10">
      <pivotArea type="data" outline="0" fieldPosition="0">
        <references count="2">
          <reference field="4294967294" count="1" selected="0">
            <x v="0"/>
          </reference>
          <reference field="3" count="1" selected="0">
            <x v="2"/>
          </reference>
        </references>
      </pivotArea>
    </chartFormat>
    <chartFormat chart="30" format="11">
      <pivotArea type="data" outline="0" fieldPosition="0">
        <references count="2">
          <reference field="4294967294" count="1" selected="0">
            <x v="0"/>
          </reference>
          <reference field="3" count="1" selected="0">
            <x v="3"/>
          </reference>
        </references>
      </pivotArea>
    </chartFormat>
    <chartFormat chart="30" format="12">
      <pivotArea type="data" outline="0" fieldPosition="0">
        <references count="2">
          <reference field="4294967294" count="1" selected="0">
            <x v="0"/>
          </reference>
          <reference field="3" count="1" selected="0">
            <x v="4"/>
          </reference>
        </references>
      </pivotArea>
    </chartFormat>
    <chartFormat chart="16" format="1">
      <pivotArea type="data" outline="0" fieldPosition="0">
        <references count="2">
          <reference field="4294967294" count="1" selected="0">
            <x v="0"/>
          </reference>
          <reference field="3" count="1" selected="0">
            <x v="4"/>
          </reference>
        </references>
      </pivotArea>
    </chartFormat>
    <chartFormat chart="16" format="6">
      <pivotArea type="data" outline="0" fieldPosition="0">
        <references count="2">
          <reference field="4294967294" count="1" selected="0">
            <x v="0"/>
          </reference>
          <reference field="3" count="1" selected="0">
            <x v="3"/>
          </reference>
        </references>
      </pivotArea>
    </chartFormat>
    <chartFormat chart="16" format="7">
      <pivotArea type="data" outline="0" fieldPosition="0">
        <references count="2">
          <reference field="4294967294" count="1" selected="0">
            <x v="0"/>
          </reference>
          <reference field="3" count="1" selected="0">
            <x v="0"/>
          </reference>
        </references>
      </pivotArea>
    </chartFormat>
    <chartFormat chart="16" format="8">
      <pivotArea type="data" outline="0" fieldPosition="0">
        <references count="2">
          <reference field="4294967294" count="1" selected="0">
            <x v="0"/>
          </reference>
          <reference field="3" count="1" selected="0">
            <x v="1"/>
          </reference>
        </references>
      </pivotArea>
    </chartFormat>
    <chartFormat chart="16"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37607D-10C0-4738-AA84-73A976FE29B5}" name="TOTAL 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25:D26" firstHeaderRow="1" firstDataRow="1" firstDataCol="0"/>
  <pivotFields count="12">
    <pivotField showAll="0"/>
    <pivotField showAll="0"/>
    <pivotField showAll="0">
      <items count="6">
        <item x="4"/>
        <item x="1"/>
        <item x="3"/>
        <item x="2"/>
        <item x="0"/>
        <item t="default"/>
      </items>
    </pivotField>
    <pivotField showAll="0" sortType="descending">
      <items count="6">
        <item x="4"/>
        <item x="3"/>
        <item x="2"/>
        <item x="1"/>
        <item x="0"/>
        <item t="default"/>
      </items>
    </pivotField>
    <pivotField numFmtId="164" showAll="0"/>
    <pivotField dataField="1"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5" baseField="0" baseItem="0"/>
  </dataFields>
  <formats count="17">
    <format dxfId="178">
      <pivotArea type="all" dataOnly="0" outline="0" fieldPosition="0"/>
    </format>
    <format dxfId="177">
      <pivotArea outline="0" collapsedLevelsAreSubtotals="1" fieldPosition="0"/>
    </format>
    <format dxfId="176">
      <pivotArea type="origin" dataOnly="0" labelOnly="1" outline="0" fieldPosition="0"/>
    </format>
    <format dxfId="175">
      <pivotArea field="3" type="button" dataOnly="0" labelOnly="1" outline="0"/>
    </format>
    <format dxfId="174">
      <pivotArea type="topRight" dataOnly="0" labelOnly="1" outline="0" fieldPosition="0"/>
    </format>
    <format dxfId="173">
      <pivotArea field="2" type="button" dataOnly="0" labelOnly="1" outline="0"/>
    </format>
    <format dxfId="172">
      <pivotArea dataOnly="0" labelOnly="1" grandRow="1" outline="0" fieldPosition="0"/>
    </format>
    <format dxfId="171">
      <pivotArea dataOnly="0" labelOnly="1" grandCol="1" outline="0" fieldPosition="0"/>
    </format>
    <format dxfId="170">
      <pivotArea type="origin" dataOnly="0" labelOnly="1" outline="0" fieldPosition="0"/>
    </format>
    <format dxfId="169">
      <pivotArea field="3" type="button" dataOnly="0" labelOnly="1" outline="0"/>
    </format>
    <format dxfId="168">
      <pivotArea field="2" type="button" dataOnly="0" labelOnly="1" outline="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C01EB-098B-4586-87CC-2A2D4C485D56}" name="KPI_HELP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5:A26" firstHeaderRow="1" firstDataRow="1" firstDataCol="0"/>
  <pivotFields count="12">
    <pivotField showAll="0"/>
    <pivotField showAll="0"/>
    <pivotField showAll="0">
      <items count="6">
        <item x="4"/>
        <item x="1"/>
        <item x="3"/>
        <item x="2"/>
        <item x="0"/>
        <item t="default"/>
      </items>
    </pivotField>
    <pivotField showAll="0" sortType="descending">
      <items count="6">
        <item x="4"/>
        <item x="3"/>
        <item x="2"/>
        <item x="1"/>
        <item x="0"/>
        <item t="default"/>
      </items>
    </pivotField>
    <pivotField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164" showAll="0"/>
    <pivotField showAll="0"/>
    <pivotField numFmtId="165"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8" baseField="0" baseItem="0"/>
  </dataFields>
  <formats count="17">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3" type="button" dataOnly="0" labelOnly="1" outline="0"/>
    </format>
    <format dxfId="191">
      <pivotArea type="topRight" dataOnly="0" labelOnly="1" outline="0" fieldPosition="0"/>
    </format>
    <format dxfId="190">
      <pivotArea field="2" type="button" dataOnly="0" labelOnly="1" outline="0"/>
    </format>
    <format dxfId="189">
      <pivotArea dataOnly="0" labelOnly="1" grandRow="1" outline="0" fieldPosition="0"/>
    </format>
    <format dxfId="188">
      <pivotArea dataOnly="0" labelOnly="1" grandCol="1" outline="0" fieldPosition="0"/>
    </format>
    <format dxfId="187">
      <pivotArea type="origin" dataOnly="0" labelOnly="1" outline="0" fieldPosition="0"/>
    </format>
    <format dxfId="186">
      <pivotArea field="3" type="button" dataOnly="0" labelOnly="1" outline="0"/>
    </format>
    <format dxfId="185">
      <pivotArea field="2" type="button" dataOnly="0" labelOnly="1" outline="0"/>
    </format>
    <format dxfId="184">
      <pivotArea type="all" dataOnly="0" outline="0" fieldPosition="0"/>
    </format>
    <format dxfId="183">
      <pivotArea outline="0" collapsedLevelsAreSubtotals="1"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B56DF9-8F93-45A2-8A90-4E3218490955}" name="MONTHL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O2:P15" firstHeaderRow="1" firstDataRow="1" firstDataCol="1"/>
  <pivotFields count="12">
    <pivotField showAll="0"/>
    <pivotField showAll="0"/>
    <pivotField showAll="0">
      <items count="6">
        <item x="4"/>
        <item x="1"/>
        <item x="3"/>
        <item x="2"/>
        <item x="0"/>
        <item t="default"/>
      </items>
    </pivotField>
    <pivotField showAll="0">
      <items count="6">
        <item x="0"/>
        <item x="1"/>
        <item x="2"/>
        <item x="3"/>
        <item x="4"/>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axis="axisRow" showAll="0">
      <items count="15">
        <item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4" baseField="0" baseItem="0"/>
  </dataFields>
  <formats count="12">
    <format dxfId="207">
      <pivotArea type="all" dataOnly="0" outline="0" fieldPosition="0"/>
    </format>
    <format dxfId="206">
      <pivotArea outline="0" collapsedLevelsAreSubtotals="1" fieldPosition="0"/>
    </format>
    <format dxfId="205">
      <pivotArea field="11" type="button" dataOnly="0" labelOnly="1" outline="0" axis="axisRow" fieldPosition="0"/>
    </format>
    <format dxfId="204">
      <pivotArea dataOnly="0" labelOnly="1" fieldPosition="0">
        <references count="1">
          <reference field="11" count="12">
            <x v="1"/>
            <x v="2"/>
            <x v="3"/>
            <x v="4"/>
            <x v="5"/>
            <x v="6"/>
            <x v="7"/>
            <x v="8"/>
            <x v="9"/>
            <x v="10"/>
            <x v="11"/>
            <x v="12"/>
          </reference>
        </references>
      </pivotArea>
    </format>
    <format dxfId="203">
      <pivotArea dataOnly="0" labelOnly="1" grandRow="1" outline="0"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field="11" type="button" dataOnly="0" labelOnly="1" outline="0" axis="axisRow" fieldPosition="0"/>
    </format>
    <format dxfId="198">
      <pivotArea dataOnly="0" labelOnly="1" fieldPosition="0">
        <references count="1">
          <reference field="11" count="12">
            <x v="1"/>
            <x v="2"/>
            <x v="3"/>
            <x v="4"/>
            <x v="5"/>
            <x v="6"/>
            <x v="7"/>
            <x v="8"/>
            <x v="9"/>
            <x v="10"/>
            <x v="11"/>
            <x v="12"/>
          </reference>
        </references>
      </pivotArea>
    </format>
    <format dxfId="197">
      <pivotArea dataOnly="0" labelOnly="1" grandRow="1" outline="0" fieldPosition="0"/>
    </format>
    <format dxfId="19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D54431-12BE-4CA5-897C-79B67CCD20FF}" name="TOP_CUSTOM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TOP_CUSTOMERS">
  <location ref="A29:B57" firstHeaderRow="1" firstDataRow="1" firstDataCol="1"/>
  <pivotFields count="12">
    <pivotField showAll="0"/>
    <pivotField axis="axisRow"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sortType="descending">
      <items count="6">
        <item x="4"/>
        <item x="3"/>
        <item x="2"/>
        <item x="1"/>
        <item x="0"/>
        <item t="default"/>
      </items>
    </pivotField>
    <pivotField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dataField="1" showAll="0"/>
    <pivotField numFmtId="165" showAll="0"/>
    <pivotField showAll="0">
      <items count="15">
        <item x="0"/>
        <item x="1"/>
        <item x="2"/>
        <item x="3"/>
        <item x="4"/>
        <item x="5"/>
        <item x="6"/>
        <item x="7"/>
        <item x="8"/>
        <item x="9"/>
        <item x="10"/>
        <item x="11"/>
        <item x="12"/>
        <item x="13"/>
        <item t="default"/>
      </items>
    </pivotField>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TOTAL_PURCHASE" fld="9" baseField="0" baseItem="0"/>
  </dataFields>
  <formats count="17">
    <format dxfId="224">
      <pivotArea type="all" dataOnly="0" outline="0" fieldPosition="0"/>
    </format>
    <format dxfId="223">
      <pivotArea outline="0" collapsedLevelsAreSubtotals="1" fieldPosition="0"/>
    </format>
    <format dxfId="222">
      <pivotArea type="origin" dataOnly="0" labelOnly="1" outline="0" fieldPosition="0"/>
    </format>
    <format dxfId="221">
      <pivotArea field="3" type="button" dataOnly="0" labelOnly="1" outline="0"/>
    </format>
    <format dxfId="220">
      <pivotArea type="topRight" dataOnly="0" labelOnly="1" outline="0" fieldPosition="0"/>
    </format>
    <format dxfId="219">
      <pivotArea field="2" type="button" dataOnly="0" labelOnly="1" outline="0"/>
    </format>
    <format dxfId="218">
      <pivotArea dataOnly="0" labelOnly="1" grandRow="1" outline="0" fieldPosition="0"/>
    </format>
    <format dxfId="217">
      <pivotArea dataOnly="0" labelOnly="1" grandCol="1" outline="0" fieldPosition="0"/>
    </format>
    <format dxfId="216">
      <pivotArea type="origin" dataOnly="0" labelOnly="1" outline="0" fieldPosition="0"/>
    </format>
    <format dxfId="215">
      <pivotArea field="3" type="button" dataOnly="0" labelOnly="1" outline="0"/>
    </format>
    <format dxfId="214">
      <pivotArea field="2" type="button" dataOnly="0" labelOnly="1" outline="0"/>
    </format>
    <format dxfId="213">
      <pivotArea type="all" dataOnly="0" outline="0" fieldPosition="0"/>
    </format>
    <format dxfId="212">
      <pivotArea outline="0" collapsedLevelsAreSubtotals="1"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82D3C9-B3B2-47C3-BA06-E817A0A8DD14}" name="REGION 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2:J8" firstHeaderRow="1" firstDataRow="1" firstDataCol="1"/>
  <pivotFields count="12">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4" baseField="0" baseItem="0"/>
  </dataFields>
  <formats count="12">
    <format dxfId="236">
      <pivotArea type="all" dataOnly="0" outline="0" fieldPosition="0"/>
    </format>
    <format dxfId="235">
      <pivotArea outline="0" collapsedLevelsAreSubtotals="1" fieldPosition="0"/>
    </format>
    <format dxfId="234">
      <pivotArea field="2" type="button" dataOnly="0" labelOnly="1" outline="0" axis="axisRow" fieldPosition="0"/>
    </format>
    <format dxfId="233">
      <pivotArea dataOnly="0" labelOnly="1" fieldPosition="0">
        <references count="1">
          <reference field="2" count="0"/>
        </references>
      </pivotArea>
    </format>
    <format dxfId="232">
      <pivotArea dataOnly="0" labelOnly="1" grandRow="1" outline="0" fieldPosition="0"/>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field="2" type="button" dataOnly="0" labelOnly="1" outline="0" axis="axisRow" fieldPosition="0"/>
    </format>
    <format dxfId="227">
      <pivotArea dataOnly="0" labelOnly="1" fieldPosition="0">
        <references count="1">
          <reference field="2" count="0"/>
        </references>
      </pivotArea>
    </format>
    <format dxfId="226">
      <pivotArea dataOnly="0" labelOnly="1" grandRow="1" outline="0" fieldPosition="0"/>
    </format>
    <format dxfId="2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D3AAE9-A404-46C9-A1F3-BA97B9ECE9EC}" name="TOP_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TOP PRODUCT">
  <location ref="D29:E35" firstHeaderRow="1" firstDataRow="1" firstDataCol="1"/>
  <pivotFields count="12">
    <pivotField showAll="0"/>
    <pivotField showAll="0"/>
    <pivotField showAll="0">
      <items count="6">
        <item x="4"/>
        <item x="1"/>
        <item x="3"/>
        <item x="2"/>
        <item x="0"/>
        <item t="default"/>
      </items>
    </pivotField>
    <pivotField axis="axisRow" showAll="0" sortType="descending">
      <items count="6">
        <item x="4"/>
        <item x="3"/>
        <item x="2"/>
        <item x="1"/>
        <item x="0"/>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SALES" fld="4" baseField="0" baseItem="0"/>
  </dataFields>
  <formats count="17">
    <format dxfId="253">
      <pivotArea type="all" dataOnly="0" outline="0" fieldPosition="0"/>
    </format>
    <format dxfId="252">
      <pivotArea outline="0" collapsedLevelsAreSubtotals="1" fieldPosition="0"/>
    </format>
    <format dxfId="251">
      <pivotArea type="origin" dataOnly="0" labelOnly="1" outline="0" fieldPosition="0"/>
    </format>
    <format dxfId="250">
      <pivotArea field="3" type="button" dataOnly="0" labelOnly="1" outline="0" axis="axisRow" fieldPosition="0"/>
    </format>
    <format dxfId="249">
      <pivotArea type="topRight" dataOnly="0" labelOnly="1" outline="0" fieldPosition="0"/>
    </format>
    <format dxfId="248">
      <pivotArea field="2" type="button" dataOnly="0" labelOnly="1" outline="0"/>
    </format>
    <format dxfId="247">
      <pivotArea dataOnly="0" labelOnly="1" grandRow="1" outline="0" fieldPosition="0"/>
    </format>
    <format dxfId="246">
      <pivotArea dataOnly="0" labelOnly="1" grandCol="1" outline="0" fieldPosition="0"/>
    </format>
    <format dxfId="245">
      <pivotArea type="origin" dataOnly="0" labelOnly="1" outline="0" fieldPosition="0"/>
    </format>
    <format dxfId="244">
      <pivotArea field="3" type="button" dataOnly="0" labelOnly="1" outline="0" axis="axisRow" fieldPosition="0"/>
    </format>
    <format dxfId="243">
      <pivotArea field="2" type="button" dataOnly="0" labelOnly="1" outline="0"/>
    </format>
    <format dxfId="242">
      <pivotArea type="all" dataOnly="0" outline="0" fieldPosition="0"/>
    </format>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F18546-449D-4F03-91ED-DDB3B2CEDD74}" name="REGION &amp; PRODUCT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G9" firstHeaderRow="1" firstDataRow="2" firstDataCol="1"/>
  <pivotFields count="12">
    <pivotField showAll="0"/>
    <pivotField showAll="0"/>
    <pivotField axis="axisRow" showAll="0">
      <items count="6">
        <item x="4"/>
        <item x="1"/>
        <item x="3"/>
        <item x="2"/>
        <item x="0"/>
        <item t="default"/>
      </items>
    </pivotField>
    <pivotField axis="axisCol" showAll="0" sortType="descending">
      <items count="6">
        <item x="4"/>
        <item x="3"/>
        <item x="2"/>
        <item x="1"/>
        <item x="0"/>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24">
    <format dxfId="277">
      <pivotArea type="all" dataOnly="0" outline="0" fieldPosition="0"/>
    </format>
    <format dxfId="276">
      <pivotArea outline="0" collapsedLevelsAreSubtotals="1" fieldPosition="0"/>
    </format>
    <format dxfId="275">
      <pivotArea type="origin" dataOnly="0" labelOnly="1" outline="0" fieldPosition="0"/>
    </format>
    <format dxfId="274">
      <pivotArea field="3" type="button" dataOnly="0" labelOnly="1" outline="0" axis="axisCol" fieldPosition="0"/>
    </format>
    <format dxfId="273">
      <pivotArea type="topRight" dataOnly="0" labelOnly="1" outline="0" fieldPosition="0"/>
    </format>
    <format dxfId="272">
      <pivotArea field="2" type="button" dataOnly="0" labelOnly="1" outline="0" axis="axisRow" fieldPosition="0"/>
    </format>
    <format dxfId="271">
      <pivotArea dataOnly="0" labelOnly="1" fieldPosition="0">
        <references count="1">
          <reference field="2" count="0"/>
        </references>
      </pivotArea>
    </format>
    <format dxfId="270">
      <pivotArea dataOnly="0" labelOnly="1" grandRow="1" outline="0" fieldPosition="0"/>
    </format>
    <format dxfId="269">
      <pivotArea dataOnly="0" labelOnly="1" fieldPosition="0">
        <references count="1">
          <reference field="3" count="0"/>
        </references>
      </pivotArea>
    </format>
    <format dxfId="268">
      <pivotArea dataOnly="0" labelOnly="1" grandCol="1" outline="0" fieldPosition="0"/>
    </format>
    <format dxfId="267">
      <pivotArea type="origin" dataOnly="0" labelOnly="1" outline="0" fieldPosition="0"/>
    </format>
    <format dxfId="266">
      <pivotArea field="3" type="button" dataOnly="0" labelOnly="1" outline="0" axis="axisCol" fieldPosition="0"/>
    </format>
    <format dxfId="265">
      <pivotArea field="2" type="button" dataOnly="0" labelOnly="1" outline="0" axis="axisRow" fieldPosition="0"/>
    </format>
    <format dxfId="264">
      <pivotArea dataOnly="0" labelOnly="1" fieldPosition="0">
        <references count="1">
          <reference field="3" count="1">
            <x v="4"/>
          </reference>
        </references>
      </pivotArea>
    </format>
    <format dxfId="263">
      <pivotArea type="all" dataOnly="0" outline="0" fieldPosition="0"/>
    </format>
    <format dxfId="262">
      <pivotArea outline="0" collapsedLevelsAreSubtotals="1" fieldPosition="0"/>
    </format>
    <format dxfId="261">
      <pivotArea type="origin" dataOnly="0" labelOnly="1" outline="0" fieldPosition="0"/>
    </format>
    <format dxfId="260">
      <pivotArea field="3" type="button" dataOnly="0" labelOnly="1" outline="0" axis="axisCol" fieldPosition="0"/>
    </format>
    <format dxfId="259">
      <pivotArea type="topRight" dataOnly="0" labelOnly="1" outline="0" fieldPosition="0"/>
    </format>
    <format dxfId="258">
      <pivotArea field="2" type="button" dataOnly="0" labelOnly="1" outline="0" axis="axisRow" fieldPosition="0"/>
    </format>
    <format dxfId="257">
      <pivotArea dataOnly="0" labelOnly="1" fieldPosition="0">
        <references count="1">
          <reference field="2" count="0"/>
        </references>
      </pivotArea>
    </format>
    <format dxfId="256">
      <pivotArea dataOnly="0" labelOnly="1" grandRow="1" outline="0" fieldPosition="0"/>
    </format>
    <format dxfId="255">
      <pivotArea dataOnly="0" labelOnly="1" fieldPosition="0">
        <references count="1">
          <reference field="3" count="0"/>
        </references>
      </pivotArea>
    </format>
    <format dxfId="254">
      <pivotArea dataOnly="0" labelOnly="1" grandCol="1" outline="0" fieldPosition="0"/>
    </format>
  </formats>
  <chartFormats count="5">
    <chartFormat chart="0" format="0" series="1">
      <pivotArea type="data" outline="0" fieldPosition="0">
        <references count="2">
          <reference field="4294967294" count="1" selected="0">
            <x v="0"/>
          </reference>
          <reference field="3" count="1" selected="0">
            <x v="4"/>
          </reference>
        </references>
      </pivotArea>
    </chartFormat>
    <chartFormat chart="0" format="1" series="1">
      <pivotArea type="data" outline="0" fieldPosition="0">
        <references count="2">
          <reference field="4294967294" count="1" selected="0">
            <x v="0"/>
          </reference>
          <reference field="3" count="1" selected="0">
            <x v="3"/>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25FA77-CA78-483B-83C5-497C47607674}" name="PRODUCT 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2:M8" firstHeaderRow="1" firstDataRow="1" firstDataCol="1"/>
  <pivotFields count="12">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numFmtId="164" showAll="0"/>
    <pivotField numFmtId="1" showAll="0"/>
    <pivotField numFmtId="9" showAll="0"/>
    <pivotField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showAll="0"/>
    <pivotField numFmtId="165"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SALES" fld="4" baseField="0" baseItem="0"/>
  </dataFields>
  <formats count="18">
    <format dxfId="295">
      <pivotArea type="all" dataOnly="0" outline="0" fieldPosition="0"/>
    </format>
    <format dxfId="294">
      <pivotArea outline="0" collapsedLevelsAreSubtotals="1" fieldPosition="0"/>
    </format>
    <format dxfId="293">
      <pivotArea field="3" type="button" dataOnly="0" labelOnly="1" outline="0" axis="axisRow" fieldPosition="0"/>
    </format>
    <format dxfId="292">
      <pivotArea dataOnly="0" labelOnly="1" fieldPosition="0">
        <references count="1">
          <reference field="3" count="0"/>
        </references>
      </pivotArea>
    </format>
    <format dxfId="291">
      <pivotArea dataOnly="0" labelOnly="1" grandRow="1" outline="0"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field="3" type="button" dataOnly="0" labelOnly="1" outline="0" axis="axisRow" fieldPosition="0"/>
    </format>
    <format dxfId="286">
      <pivotArea dataOnly="0" labelOnly="1" fieldPosition="0">
        <references count="1">
          <reference field="3" count="0"/>
        </references>
      </pivotArea>
    </format>
    <format dxfId="285">
      <pivotArea dataOnly="0" labelOnly="1" grandRow="1" outline="0"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field="3" type="button" dataOnly="0" labelOnly="1" outline="0" axis="axisRow" fieldPosition="0"/>
    </format>
    <format dxfId="280">
      <pivotArea dataOnly="0" labelOnly="1" fieldPosition="0">
        <references count="1">
          <reference field="3" count="0"/>
        </references>
      </pivotArea>
    </format>
    <format dxfId="279">
      <pivotArea dataOnly="0" labelOnly="1" grandRow="1" outline="0" fieldPosition="0"/>
    </format>
    <format dxfId="27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3827B8-ADAB-469F-922A-38CE472393C8}" sourceName="REGION">
  <pivotTables>
    <pivotTable tabId="20" name="MONTHLY SALES"/>
    <pivotTable tabId="20" name="PRODUCT PERFORMANCE"/>
    <pivotTable tabId="20" name="REGION &amp; PRODUCT SALES"/>
    <pivotTable tabId="20" name="REGION PERFORMANCE"/>
    <pivotTable tabId="20" name="KPI_HELPER"/>
    <pivotTable tabId="20" name="TOTAL QUANTITY"/>
    <pivotTable tabId="20" name="TOP_CUSTOMERS"/>
    <pivotTable tabId="20" name="TOP_PRODUCT"/>
    <pivotTable tabId="18" name="PivotTable3"/>
    <pivotTable tabId="16" name="PivotTable1"/>
    <pivotTable tabId="17" name="PivotTable2"/>
  </pivotTables>
  <data>
    <tabular pivotCacheId="690629167">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1BF319E-B6A4-4088-A47B-B42079AE2777}" sourceName="PRODUCT_CATEGORY">
  <pivotTables>
    <pivotTable tabId="20" name="MONTHLY SALES"/>
    <pivotTable tabId="20" name="PRODUCT PERFORMANCE"/>
    <pivotTable tabId="20" name="REGION &amp; PRODUCT SALES"/>
    <pivotTable tabId="20" name="REGION PERFORMANCE"/>
    <pivotTable tabId="20" name="KPI_HELPER"/>
    <pivotTable tabId="20" name="TOTAL QUANTITY"/>
    <pivotTable tabId="20" name="TOP_CUSTOMERS"/>
    <pivotTable tabId="20" name="TOP_PRODUCT"/>
    <pivotTable tabId="18" name="PivotTable3"/>
    <pivotTable tabId="16" name="PivotTable1"/>
    <pivotTable tabId="17" name="PivotTable2"/>
  </pivotTables>
  <data>
    <tabular pivotCacheId="690629167">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68AD630-0C92-4FC3-8E22-840ECC6E35EB}" cache="Slicer_REGION" caption="REGION" columnCount="5" style="Dashboard Purple 2" rowHeight="257175"/>
  <slicer name="PRODUCT_CATEGORY 1" xr10:uid="{C6E4C519-ED86-441B-ACB2-F1AF87C4B15A}" cache="Slicer_PRODUCT_CATEGORY" caption="PRODUCT_CATEGORY" columnCount="5" style="Dashboard Purpl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4E692C-2E79-44BF-9105-6817359872D6}" cache="Slicer_REGION" caption="REGION" rowHeight="257175"/>
  <slicer name="PRODUCT_CATEGORY" xr10:uid="{03677C10-3639-47AB-998B-219E66A908CA}" cache="Slicer_PRODUCT_CATEGORY" caption="PRODUCT_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D01C7F-733B-4E80-89F9-C1409B4939F9}" name="Table1" displayName="Table1" ref="A1:K201" totalsRowShown="0" headerRowDxfId="343" dataDxfId="341" headerRowBorderDxfId="342" tableBorderDxfId="340" totalsRowBorderDxfId="339">
  <autoFilter ref="A1:K201" xr:uid="{B3D01C7F-733B-4E80-89F9-C1409B4939F9}"/>
  <tableColumns count="11">
    <tableColumn id="1" xr3:uid="{21C1E6B3-BEF7-4707-9E2C-14206C93A995}" name="CUSTOMER_ID" dataDxfId="338"/>
    <tableColumn id="2" xr3:uid="{52E94D81-7595-4C33-A6E4-8C5E634BC3D2}" name="CUSTOMER_NAME" dataDxfId="337"/>
    <tableColumn id="3" xr3:uid="{953CEFE7-5AB2-4C47-832A-02AB3A1462DD}" name="REGION" dataDxfId="336"/>
    <tableColumn id="4" xr3:uid="{BC5A5351-46A9-4266-A1F8-494CC5C92D5D}" name="PRODUCT_CATEGORY" dataDxfId="335"/>
    <tableColumn id="5" xr3:uid="{422C075B-8105-4CA0-B395-2F59F9965A87}" name="SALES" dataDxfId="334"/>
    <tableColumn id="6" xr3:uid="{207F3F1F-B6EA-4873-AB4A-94954F298848}" name="QUANTITY" dataDxfId="333"/>
    <tableColumn id="7" xr3:uid="{3D94DE6A-5FAD-4A39-8E41-5F5D5194D675}" name="DISCOUNT" dataDxfId="332"/>
    <tableColumn id="8" xr3:uid="{0F81C888-BC3F-41AA-A19C-AC33C354F90F}" name="ORDER_DATE" dataDxfId="331"/>
    <tableColumn id="9" xr3:uid="{A3A689BC-CB6F-4226-A2FD-FFC15C8607BF}" name="PROFIT" dataDxfId="330"/>
    <tableColumn id="10" xr3:uid="{88133059-B883-4026-AF42-A89346AE89FF}" name="TOTAL_PURCHASE" dataDxfId="329">
      <calculatedColumnFormula>SUMIF($A$2:$A$201,A2,$E$2:$E$201)</calculatedColumnFormula>
    </tableColumn>
    <tableColumn id="11" xr3:uid="{1D7FC482-5642-4BF7-A19F-3B5123882B17}" name="TIMESTAMP" dataDxfId="328">
      <calculatedColumnFormula>NOW()</calculatedColumnFormula>
    </tableColumn>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B51FA5-2514-43FB-AD9E-9FFE8158F0EB}" name="Table2" displayName="Table2" ref="M6:O16" totalsRowShown="0" headerRowDxfId="327" dataDxfId="325" headerRowBorderDxfId="326" tableBorderDxfId="324" totalsRowBorderDxfId="323">
  <autoFilter ref="M6:O16" xr:uid="{12B51FA5-2514-43FB-AD9E-9FFE8158F0EB}"/>
  <tableColumns count="3">
    <tableColumn id="1" xr3:uid="{52B3896B-D586-434B-89E6-7A813FB613F0}" name="CUSTOMER ID" dataDxfId="322">
      <calculatedColumnFormula>INDEX(A2:A201,MATCH(O7,J2:J201,0))</calculatedColumnFormula>
    </tableColumn>
    <tableColumn id="2" xr3:uid="{C4C832FD-7411-4813-AA7C-5BC8BA995225}" name="CUSTOMER NAME" dataDxfId="321">
      <calculatedColumnFormula>INDEX(B2:B201,MATCH(O7,J2:J201,0))</calculatedColumnFormula>
    </tableColumn>
    <tableColumn id="3" xr3:uid="{709D9D31-DF2E-43CD-BE24-D452F7D684E1}" name="TOTAL  PURCHASE" dataDxfId="320">
      <calculatedColumnFormula>LARGE(_xlfn.UNIQUE($J$2:$J$201),ROWS($O$7:O7))</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F7CF521-F6E3-4425-9AE9-9D9683BDFE2B}" sourceName="ORDER_DATE">
  <pivotTables>
    <pivotTable tabId="20" name="MONTHLY SALES"/>
    <pivotTable tabId="20" name="PRODUCT PERFORMANCE"/>
    <pivotTable tabId="20" name="REGION &amp; PRODUCT SALES"/>
    <pivotTable tabId="20" name="REGION PERFORMANCE"/>
    <pivotTable tabId="20" name="KPI_HELPER"/>
    <pivotTable tabId="20" name="TOTAL QUANTITY"/>
    <pivotTable tabId="20" name="TOP_CUSTOMERS"/>
    <pivotTable tabId="20" name="TOP_PRODUCT"/>
    <pivotTable tabId="18" name="PivotTable3"/>
    <pivotTable tabId="16" name="PivotTable1"/>
    <pivotTable tabId="17" name="PivotTable2"/>
  </pivotTables>
  <state minimalRefreshVersion="6" lastRefreshVersion="6" pivotCacheId="69062916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6B2D687-4EBF-4BCC-B151-F895D15441EB}" cache="NativeTimeline_ORDER_DATE" caption="ORDER_DATE" level="2" selectionLevel="2" scrollPosition="2024-01-01T00:00:00" style="Dashboard Timeline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A33703A-97A8-4444-A89A-416E888DBE56}" cache="NativeTimeline_ORDER_DATE" caption="ORDER_DATE"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microsoft.com/office/2011/relationships/timeline" Target="../timelines/timeline2.xml"/><Relationship Id="rId5" Type="http://schemas.openxmlformats.org/officeDocument/2006/relationships/pivotTable" Target="../pivotTables/pivotTable8.xml"/><Relationship Id="rId10" Type="http://schemas.microsoft.com/office/2007/relationships/slicer" Target="../slicers/slicer2.xml"/><Relationship Id="rId4" Type="http://schemas.openxmlformats.org/officeDocument/2006/relationships/pivotTable" Target="../pivotTables/pivotTable7.xml"/><Relationship Id="rId9"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DCA4-EC9A-452D-A4DF-7FCA0A514514}">
  <dimension ref="A1:U46"/>
  <sheetViews>
    <sheetView showGridLines="0" tabSelected="1" view="pageBreakPreview" zoomScale="60" zoomScaleNormal="100" workbookViewId="0">
      <selection activeCell="AK14" sqref="AK14"/>
    </sheetView>
  </sheetViews>
  <sheetFormatPr defaultRowHeight="15" x14ac:dyDescent="0.25"/>
  <cols>
    <col min="2" max="2" width="10.28515625" customWidth="1"/>
    <col min="5" max="5" width="9.85546875" customWidth="1"/>
    <col min="20" max="20" width="9.140625" customWidth="1"/>
    <col min="21" max="21" width="9.42578125" customWidth="1"/>
  </cols>
  <sheetData>
    <row r="1" spans="1:21" ht="26.25" customHeight="1" x14ac:dyDescent="0.25">
      <c r="A1" s="52"/>
      <c r="B1" s="52"/>
      <c r="C1" s="61" t="s">
        <v>146</v>
      </c>
      <c r="D1" s="61"/>
      <c r="E1" s="61"/>
      <c r="F1" s="61"/>
      <c r="G1" s="61"/>
      <c r="H1" s="61"/>
      <c r="I1" s="61"/>
      <c r="J1" s="61"/>
      <c r="K1" s="52"/>
      <c r="L1" s="52"/>
      <c r="M1" s="52"/>
      <c r="N1" s="52"/>
      <c r="O1" s="52"/>
      <c r="P1" s="52"/>
      <c r="Q1" s="52"/>
      <c r="R1" s="52"/>
      <c r="S1" s="52"/>
      <c r="T1" s="52"/>
      <c r="U1" s="52"/>
    </row>
    <row r="2" spans="1:21" ht="15" customHeight="1" x14ac:dyDescent="0.25">
      <c r="A2" s="52"/>
      <c r="B2" s="52"/>
      <c r="C2" s="61"/>
      <c r="D2" s="61"/>
      <c r="E2" s="61"/>
      <c r="F2" s="61"/>
      <c r="G2" s="61"/>
      <c r="H2" s="61"/>
      <c r="I2" s="61"/>
      <c r="J2" s="61"/>
      <c r="K2" s="52"/>
      <c r="L2" s="52"/>
      <c r="M2" s="52"/>
      <c r="N2" s="52"/>
      <c r="O2" s="52"/>
      <c r="P2" s="52"/>
      <c r="Q2" s="52"/>
      <c r="R2" s="52"/>
      <c r="S2" s="52"/>
      <c r="T2" s="52"/>
      <c r="U2" s="52"/>
    </row>
    <row r="3" spans="1:21" ht="15" customHeight="1" x14ac:dyDescent="0.3">
      <c r="A3" s="52"/>
      <c r="B3" s="52"/>
      <c r="C3" s="62" t="s">
        <v>147</v>
      </c>
      <c r="D3" s="62"/>
      <c r="E3" s="62"/>
      <c r="F3" s="62"/>
      <c r="G3" s="52"/>
      <c r="H3" s="52"/>
      <c r="I3" s="52"/>
      <c r="J3" s="52"/>
      <c r="K3" s="52"/>
      <c r="L3" s="52"/>
      <c r="M3" s="52"/>
      <c r="N3" s="52"/>
      <c r="O3" s="52"/>
      <c r="P3" s="52"/>
      <c r="Q3" s="52"/>
      <c r="R3" s="52"/>
      <c r="S3" s="52"/>
      <c r="T3" s="52"/>
      <c r="U3" s="52"/>
    </row>
    <row r="4" spans="1:21" x14ac:dyDescent="0.25">
      <c r="A4" s="52"/>
      <c r="B4" s="52"/>
      <c r="C4" s="52"/>
      <c r="D4" s="52"/>
      <c r="E4" s="52"/>
      <c r="F4" s="52"/>
      <c r="G4" s="52"/>
      <c r="H4" s="52"/>
      <c r="I4" s="52"/>
      <c r="J4" s="52"/>
      <c r="K4" s="52"/>
      <c r="L4" s="52"/>
      <c r="M4" s="52"/>
      <c r="N4" s="52"/>
      <c r="O4" s="52"/>
      <c r="P4" s="52"/>
      <c r="Q4" s="52"/>
      <c r="R4" s="52"/>
      <c r="S4" s="52"/>
      <c r="T4" s="52"/>
      <c r="U4" s="52"/>
    </row>
    <row r="5" spans="1:21" x14ac:dyDescent="0.25">
      <c r="A5" s="52"/>
      <c r="B5" s="52"/>
      <c r="C5" s="52"/>
      <c r="D5" s="52"/>
      <c r="E5" s="52"/>
      <c r="F5" s="52"/>
      <c r="G5" s="52"/>
      <c r="H5" s="52"/>
      <c r="I5" s="52"/>
      <c r="J5" s="52"/>
      <c r="K5" s="52"/>
      <c r="L5" s="52"/>
      <c r="M5" s="52"/>
      <c r="N5" s="52"/>
      <c r="O5" s="52"/>
      <c r="P5" s="52"/>
      <c r="Q5" s="52"/>
      <c r="R5" s="52"/>
      <c r="S5" s="52"/>
      <c r="T5" s="52"/>
      <c r="U5" s="52"/>
    </row>
    <row r="6" spans="1:21" x14ac:dyDescent="0.25">
      <c r="A6" s="52"/>
      <c r="B6" s="52"/>
      <c r="C6" s="52"/>
      <c r="D6" s="52"/>
      <c r="E6" s="52"/>
      <c r="F6" s="52"/>
      <c r="G6" s="52"/>
      <c r="H6" s="52"/>
      <c r="I6" s="52"/>
      <c r="J6" s="52"/>
      <c r="K6" s="52"/>
      <c r="L6" s="52"/>
      <c r="M6" s="52"/>
      <c r="N6" s="52"/>
      <c r="O6" s="52"/>
      <c r="P6" s="52"/>
      <c r="Q6" s="52"/>
      <c r="R6" s="52"/>
      <c r="S6" s="52"/>
      <c r="T6" s="52"/>
      <c r="U6" s="52"/>
    </row>
    <row r="7" spans="1:21" x14ac:dyDescent="0.25">
      <c r="A7" s="52"/>
      <c r="B7" s="52"/>
      <c r="C7" s="52"/>
      <c r="D7" s="52"/>
      <c r="E7" s="52"/>
      <c r="F7" s="52"/>
      <c r="G7" s="52"/>
      <c r="H7" s="52"/>
      <c r="I7" s="52"/>
      <c r="J7" s="52"/>
      <c r="K7" s="52"/>
      <c r="L7" s="52"/>
      <c r="M7" s="52"/>
      <c r="N7" s="52"/>
      <c r="O7" s="52"/>
      <c r="P7" s="52"/>
      <c r="Q7" s="52"/>
      <c r="R7" s="52"/>
      <c r="S7" s="52"/>
      <c r="T7" s="52"/>
      <c r="U7" s="52"/>
    </row>
    <row r="8" spans="1:21" x14ac:dyDescent="0.25">
      <c r="A8" s="52"/>
      <c r="B8" s="52"/>
      <c r="C8" s="52"/>
      <c r="D8" s="52"/>
      <c r="E8" s="52"/>
      <c r="F8" s="52"/>
      <c r="G8" s="52"/>
      <c r="H8" s="52"/>
      <c r="I8" s="52"/>
      <c r="J8" s="52"/>
      <c r="K8" s="52"/>
      <c r="L8" s="52"/>
      <c r="M8" s="52"/>
      <c r="N8" s="52"/>
      <c r="O8" s="52"/>
      <c r="P8" s="52"/>
      <c r="Q8" s="52"/>
      <c r="R8" s="52"/>
      <c r="S8" s="52"/>
      <c r="T8" s="52"/>
      <c r="U8" s="52"/>
    </row>
    <row r="9" spans="1:21" x14ac:dyDescent="0.25">
      <c r="A9" s="52"/>
      <c r="B9" s="52"/>
      <c r="C9" s="52"/>
      <c r="D9" s="52"/>
      <c r="E9" s="52"/>
      <c r="F9" s="52"/>
      <c r="G9" s="52"/>
      <c r="H9" s="52"/>
      <c r="I9" s="52"/>
      <c r="J9" s="52"/>
      <c r="K9" s="52"/>
      <c r="L9" s="52"/>
      <c r="M9" s="52"/>
      <c r="N9" s="52"/>
      <c r="O9" s="52"/>
      <c r="P9" s="52"/>
      <c r="Q9" s="52"/>
      <c r="R9" s="52"/>
      <c r="S9" s="52"/>
      <c r="T9" s="52"/>
      <c r="U9" s="52"/>
    </row>
    <row r="10" spans="1:21" ht="15" customHeight="1" x14ac:dyDescent="0.25">
      <c r="A10" s="53"/>
      <c r="B10" s="53"/>
      <c r="C10" s="53"/>
      <c r="D10" s="53"/>
      <c r="E10" s="57"/>
      <c r="F10" s="57"/>
      <c r="G10" s="57"/>
      <c r="H10" s="57"/>
      <c r="I10" s="57"/>
      <c r="J10" s="57"/>
      <c r="K10" s="57"/>
      <c r="L10" s="57"/>
      <c r="M10" s="56"/>
      <c r="N10" s="56"/>
      <c r="O10" s="56"/>
      <c r="P10" s="56"/>
      <c r="Q10" s="63"/>
      <c r="R10" s="63"/>
      <c r="S10" s="63"/>
      <c r="T10" s="63"/>
      <c r="U10" s="52"/>
    </row>
    <row r="11" spans="1:21" ht="15" customHeight="1" x14ac:dyDescent="0.25">
      <c r="A11" s="53"/>
      <c r="B11" s="53"/>
      <c r="C11" s="53"/>
      <c r="D11" s="53"/>
      <c r="E11" s="57"/>
      <c r="F11" s="57"/>
      <c r="G11" s="57"/>
      <c r="H11" s="57"/>
      <c r="I11" s="57"/>
      <c r="J11" s="57"/>
      <c r="K11" s="57"/>
      <c r="L11" s="57"/>
      <c r="M11" s="56"/>
      <c r="N11" s="56"/>
      <c r="O11" s="56"/>
      <c r="P11" s="56"/>
      <c r="Q11" s="63"/>
      <c r="R11" s="63"/>
      <c r="S11" s="63"/>
      <c r="T11" s="63"/>
      <c r="U11" s="52"/>
    </row>
    <row r="12" spans="1:21" ht="15" customHeight="1" x14ac:dyDescent="0.25">
      <c r="A12" s="53"/>
      <c r="B12" s="53"/>
      <c r="C12" s="53"/>
      <c r="D12" s="53"/>
      <c r="E12" s="57"/>
      <c r="F12" s="57"/>
      <c r="G12" s="57"/>
      <c r="H12" s="57"/>
      <c r="I12" s="57"/>
      <c r="J12" s="57"/>
      <c r="K12" s="57"/>
      <c r="L12" s="57"/>
      <c r="M12" s="56"/>
      <c r="N12" s="56"/>
      <c r="O12" s="56"/>
      <c r="P12" s="56"/>
      <c r="Q12" s="63"/>
      <c r="R12" s="63"/>
      <c r="S12" s="63"/>
      <c r="T12" s="63"/>
      <c r="U12" s="52"/>
    </row>
    <row r="13" spans="1:21" ht="15" customHeight="1" x14ac:dyDescent="0.25">
      <c r="A13" s="53"/>
      <c r="B13" s="53"/>
      <c r="C13" s="53"/>
      <c r="D13" s="53"/>
      <c r="E13" s="57"/>
      <c r="F13" s="57"/>
      <c r="G13" s="57"/>
      <c r="H13" s="57"/>
      <c r="I13" s="57"/>
      <c r="J13" s="57"/>
      <c r="K13" s="57"/>
      <c r="L13" s="57"/>
      <c r="M13" s="56"/>
      <c r="N13" s="56"/>
      <c r="O13" s="56"/>
      <c r="P13" s="56"/>
      <c r="Q13" s="63"/>
      <c r="R13" s="63"/>
      <c r="S13" s="63"/>
      <c r="T13" s="63"/>
      <c r="U13" s="52"/>
    </row>
    <row r="14" spans="1:21" x14ac:dyDescent="0.25">
      <c r="A14" s="52"/>
      <c r="B14" s="52"/>
      <c r="C14" s="52"/>
      <c r="D14" s="52"/>
      <c r="E14" s="52"/>
      <c r="F14" s="52"/>
      <c r="G14" s="52"/>
      <c r="H14" s="52"/>
      <c r="I14" s="52"/>
      <c r="J14" s="52"/>
      <c r="K14" s="52"/>
      <c r="L14" s="52"/>
      <c r="M14" s="52"/>
      <c r="N14" s="52"/>
      <c r="O14" s="52"/>
      <c r="P14" s="52"/>
      <c r="Q14" s="52"/>
      <c r="R14" s="52"/>
      <c r="S14" s="52"/>
      <c r="T14" s="52"/>
      <c r="U14" s="54">
        <f>GETPIVOTDATA("Sum of SALES",'PIVOT TABLES'!$A$4)</f>
        <v>195217.76</v>
      </c>
    </row>
    <row r="15" spans="1:21" x14ac:dyDescent="0.25">
      <c r="A15" s="52"/>
      <c r="B15" s="52"/>
      <c r="C15" s="52"/>
      <c r="D15" s="52"/>
      <c r="E15" s="52"/>
      <c r="F15" s="52"/>
      <c r="G15" s="52"/>
      <c r="H15" s="52"/>
      <c r="I15" s="52"/>
      <c r="J15" s="52"/>
      <c r="K15" s="52"/>
      <c r="L15" s="52"/>
      <c r="M15" s="52"/>
      <c r="N15" s="52"/>
      <c r="O15" s="52"/>
      <c r="P15" s="52"/>
      <c r="Q15" s="52"/>
      <c r="R15" s="52"/>
      <c r="S15" s="52"/>
      <c r="T15" s="52"/>
      <c r="U15" s="55">
        <f>'PIVOT TABLES'!A26</f>
        <v>68287.010000000009</v>
      </c>
    </row>
    <row r="16" spans="1:21" x14ac:dyDescent="0.25">
      <c r="A16" s="52"/>
      <c r="B16" s="52"/>
      <c r="C16" s="52"/>
      <c r="D16" s="52"/>
      <c r="E16" s="52"/>
      <c r="F16" s="52"/>
      <c r="G16" s="52"/>
      <c r="H16" s="52"/>
      <c r="I16" s="52"/>
      <c r="J16" s="52"/>
      <c r="K16" s="52"/>
      <c r="L16" s="52"/>
      <c r="M16" s="52"/>
      <c r="N16" s="52"/>
      <c r="O16" s="52"/>
      <c r="P16" s="52"/>
      <c r="Q16" s="52"/>
      <c r="R16" s="52"/>
      <c r="S16" s="52"/>
      <c r="T16" s="52"/>
      <c r="U16" s="52"/>
    </row>
    <row r="17" spans="1:21" x14ac:dyDescent="0.25">
      <c r="A17" s="52"/>
      <c r="B17" s="52"/>
      <c r="C17" s="52"/>
      <c r="D17" s="52"/>
      <c r="E17" s="52"/>
      <c r="F17" s="52"/>
      <c r="G17" s="52"/>
      <c r="H17" s="52"/>
      <c r="I17" s="52"/>
      <c r="J17" s="52"/>
      <c r="K17" s="52"/>
      <c r="L17" s="52"/>
      <c r="M17" s="52"/>
      <c r="N17" s="52"/>
      <c r="O17" s="52"/>
      <c r="P17" s="52"/>
      <c r="Q17" s="52"/>
      <c r="R17" s="52"/>
      <c r="S17" s="52"/>
      <c r="T17" s="52"/>
      <c r="U17" s="52"/>
    </row>
    <row r="18" spans="1:21" x14ac:dyDescent="0.25">
      <c r="A18" s="52"/>
      <c r="B18" s="52"/>
      <c r="C18" s="52"/>
      <c r="D18" s="52"/>
      <c r="E18" s="52"/>
      <c r="F18" s="52"/>
      <c r="G18" s="52"/>
      <c r="H18" s="52"/>
      <c r="I18" s="52"/>
      <c r="J18" s="52"/>
      <c r="K18" s="52"/>
      <c r="L18" s="52"/>
      <c r="M18" s="52"/>
      <c r="N18" s="52"/>
      <c r="O18" s="52"/>
      <c r="P18" s="52"/>
      <c r="Q18" s="52"/>
      <c r="R18" s="52"/>
      <c r="S18" s="52"/>
      <c r="T18" s="52"/>
      <c r="U18" s="52"/>
    </row>
    <row r="19" spans="1:21" x14ac:dyDescent="0.25">
      <c r="A19" s="52"/>
      <c r="B19" s="52"/>
      <c r="C19" s="52"/>
      <c r="D19" s="52"/>
      <c r="E19" s="52"/>
      <c r="F19" s="52"/>
      <c r="G19" s="52"/>
      <c r="H19" s="52"/>
      <c r="I19" s="52"/>
      <c r="J19" s="52"/>
      <c r="K19" s="52"/>
      <c r="L19" s="52"/>
      <c r="M19" s="52"/>
      <c r="N19" s="52"/>
      <c r="O19" s="52"/>
      <c r="P19" s="52"/>
      <c r="Q19" s="52"/>
      <c r="R19" s="52"/>
      <c r="S19" s="52"/>
      <c r="T19" s="58">
        <f>'PIVOT TABLES'!A26</f>
        <v>68287.010000000009</v>
      </c>
      <c r="U19" s="52"/>
    </row>
    <row r="20" spans="1:21" x14ac:dyDescent="0.25">
      <c r="A20" s="52"/>
      <c r="B20" s="52"/>
      <c r="C20" s="52"/>
      <c r="D20" s="52"/>
      <c r="E20" s="52"/>
      <c r="F20" s="52"/>
      <c r="G20" s="52"/>
      <c r="H20" s="52"/>
      <c r="I20" s="52"/>
      <c r="J20" s="52"/>
      <c r="K20" s="52"/>
      <c r="L20" s="52"/>
      <c r="M20" s="52"/>
      <c r="N20" s="52"/>
      <c r="O20" s="52"/>
      <c r="P20" s="52"/>
      <c r="Q20" s="52"/>
      <c r="R20" s="52"/>
      <c r="S20" s="52"/>
      <c r="T20" s="52"/>
      <c r="U20" s="52"/>
    </row>
    <row r="21" spans="1:21" x14ac:dyDescent="0.25">
      <c r="A21" s="52"/>
      <c r="B21" s="52"/>
      <c r="C21" s="52"/>
      <c r="D21" s="52"/>
      <c r="E21" s="52"/>
      <c r="F21" s="52"/>
      <c r="G21" s="52"/>
      <c r="H21" s="52"/>
      <c r="I21" s="52"/>
      <c r="J21" s="52"/>
      <c r="K21" s="52"/>
      <c r="L21" s="52"/>
      <c r="M21" s="52"/>
      <c r="N21" s="52"/>
      <c r="O21" s="52"/>
      <c r="P21" s="52"/>
      <c r="Q21" s="52"/>
      <c r="R21" s="52"/>
      <c r="S21" s="52"/>
      <c r="T21" s="52"/>
      <c r="U21" s="52"/>
    </row>
    <row r="22" spans="1:21" x14ac:dyDescent="0.25">
      <c r="A22" s="52"/>
      <c r="B22" s="52"/>
      <c r="C22" s="52"/>
      <c r="D22" s="52"/>
      <c r="E22" s="52"/>
      <c r="F22" s="52"/>
      <c r="G22" s="52"/>
      <c r="H22" s="52"/>
      <c r="I22" s="52"/>
      <c r="J22" s="52"/>
      <c r="K22" s="52"/>
      <c r="L22" s="52"/>
      <c r="M22" s="52"/>
      <c r="N22" s="52"/>
      <c r="O22" s="52"/>
      <c r="P22" s="52"/>
      <c r="Q22" s="52"/>
      <c r="R22" s="52"/>
      <c r="S22" s="52"/>
      <c r="T22" s="60">
        <f>'PIVOT TABLES'!C30</f>
        <v>0</v>
      </c>
      <c r="U22" s="52"/>
    </row>
    <row r="23" spans="1:21" x14ac:dyDescent="0.25">
      <c r="A23" s="52"/>
      <c r="B23" s="52"/>
      <c r="C23" s="52"/>
      <c r="D23" s="52"/>
      <c r="E23" s="52"/>
      <c r="F23" s="52"/>
      <c r="G23" s="52"/>
      <c r="H23" s="52"/>
      <c r="I23" s="52"/>
      <c r="J23" s="52"/>
      <c r="K23" s="52"/>
      <c r="L23" s="52"/>
      <c r="M23" s="52"/>
      <c r="N23" s="52"/>
      <c r="O23" s="52"/>
      <c r="P23" s="52"/>
      <c r="Q23" s="52"/>
      <c r="R23" s="52"/>
      <c r="S23" s="52"/>
      <c r="T23" s="52"/>
      <c r="U23" s="52"/>
    </row>
    <row r="24" spans="1:21" x14ac:dyDescent="0.25">
      <c r="A24" s="52"/>
      <c r="B24" s="52"/>
      <c r="C24" s="52"/>
      <c r="D24" s="52"/>
      <c r="E24" s="52"/>
      <c r="F24" s="52"/>
      <c r="G24" s="52"/>
      <c r="H24" s="52"/>
      <c r="I24" s="52"/>
      <c r="J24" s="52"/>
      <c r="K24" s="52"/>
      <c r="L24" s="52"/>
      <c r="M24" s="52"/>
      <c r="N24" s="52"/>
      <c r="O24" s="52"/>
      <c r="P24" s="52"/>
      <c r="Q24" s="52"/>
      <c r="R24" s="52"/>
      <c r="S24" s="52"/>
      <c r="T24" s="52"/>
      <c r="U24" s="52"/>
    </row>
    <row r="25" spans="1:21" x14ac:dyDescent="0.25">
      <c r="A25" s="52"/>
      <c r="B25" s="52"/>
      <c r="C25" s="52"/>
      <c r="D25" s="52"/>
      <c r="E25" s="52"/>
      <c r="F25" s="52"/>
      <c r="G25" s="52"/>
      <c r="H25" s="52"/>
      <c r="I25" s="52"/>
      <c r="J25" s="52"/>
      <c r="K25" s="52"/>
      <c r="L25" s="52"/>
      <c r="M25" s="52"/>
      <c r="N25" s="52"/>
      <c r="O25" s="52"/>
      <c r="P25" s="52"/>
      <c r="Q25" s="52"/>
      <c r="R25" s="52"/>
      <c r="S25" s="52"/>
      <c r="T25" s="52"/>
      <c r="U25" s="52"/>
    </row>
    <row r="26" spans="1:21" x14ac:dyDescent="0.25">
      <c r="A26" s="52"/>
      <c r="B26" s="52"/>
      <c r="C26" s="52"/>
      <c r="D26" s="52"/>
      <c r="E26" s="52"/>
      <c r="F26" s="52"/>
      <c r="G26" s="52"/>
      <c r="H26" s="52"/>
      <c r="I26" s="52"/>
      <c r="J26" s="52"/>
      <c r="K26" s="52"/>
      <c r="L26" s="52"/>
      <c r="M26" s="52"/>
      <c r="N26" s="52"/>
      <c r="O26" s="52"/>
      <c r="P26" s="52"/>
      <c r="Q26" s="52"/>
      <c r="R26" s="52"/>
      <c r="S26" s="52"/>
      <c r="T26" s="52"/>
      <c r="U26" s="52"/>
    </row>
    <row r="27" spans="1:21" x14ac:dyDescent="0.25">
      <c r="A27" s="52"/>
      <c r="B27" s="52"/>
      <c r="C27" s="52"/>
      <c r="D27" s="52"/>
      <c r="E27" s="52"/>
      <c r="F27" s="52"/>
      <c r="G27" s="52"/>
      <c r="H27" s="52"/>
      <c r="I27" s="52"/>
      <c r="J27" s="52"/>
      <c r="K27" s="52"/>
      <c r="L27" s="52"/>
      <c r="M27" s="52"/>
      <c r="N27" s="52"/>
      <c r="O27" s="52"/>
      <c r="P27" s="52"/>
      <c r="Q27" s="52"/>
      <c r="R27" s="52"/>
      <c r="S27" s="52"/>
      <c r="T27" s="52"/>
      <c r="U27" s="52"/>
    </row>
    <row r="28" spans="1:21" x14ac:dyDescent="0.25">
      <c r="A28" s="52"/>
      <c r="B28" s="52"/>
      <c r="C28" s="52"/>
      <c r="D28" s="52"/>
      <c r="E28" s="52"/>
      <c r="F28" s="52"/>
      <c r="G28" s="52"/>
      <c r="H28" s="52"/>
      <c r="I28" s="52"/>
      <c r="J28" s="52"/>
      <c r="K28" s="52"/>
      <c r="L28" s="52"/>
      <c r="M28" s="52"/>
      <c r="N28" s="52"/>
      <c r="O28" s="52"/>
      <c r="P28" s="52"/>
      <c r="Q28" s="52"/>
      <c r="R28" s="52"/>
      <c r="S28" s="52"/>
      <c r="T28" s="59">
        <f>'PIVOT TABLES'!C30</f>
        <v>0</v>
      </c>
      <c r="U28" s="52"/>
    </row>
    <row r="29" spans="1:21" x14ac:dyDescent="0.25">
      <c r="A29" s="52"/>
      <c r="B29" s="52"/>
      <c r="C29" s="52"/>
      <c r="D29" s="52"/>
      <c r="E29" s="52"/>
      <c r="F29" s="52"/>
      <c r="G29" s="52"/>
      <c r="H29" s="52"/>
      <c r="I29" s="52"/>
      <c r="J29" s="52"/>
      <c r="K29" s="52"/>
      <c r="L29" s="52"/>
      <c r="M29" s="52"/>
      <c r="N29" s="52"/>
      <c r="O29" s="52"/>
      <c r="P29" s="52"/>
      <c r="Q29" s="52"/>
      <c r="R29" s="52"/>
      <c r="S29" s="52"/>
      <c r="T29" s="52"/>
      <c r="U29" s="52"/>
    </row>
    <row r="30" spans="1:21" x14ac:dyDescent="0.25">
      <c r="A30" s="52"/>
      <c r="B30" s="52"/>
      <c r="C30" s="52"/>
      <c r="D30" s="52"/>
      <c r="E30" s="52"/>
      <c r="F30" s="52"/>
      <c r="G30" s="52"/>
      <c r="H30" s="52"/>
      <c r="I30" s="52"/>
      <c r="J30" s="52"/>
      <c r="K30" s="52"/>
      <c r="L30" s="52"/>
      <c r="M30" s="52"/>
      <c r="N30" s="52"/>
      <c r="O30" s="52"/>
      <c r="P30" s="52"/>
      <c r="Q30" s="52"/>
      <c r="R30" s="52"/>
      <c r="S30" s="52"/>
      <c r="T30" s="52"/>
      <c r="U30" s="52"/>
    </row>
    <row r="31" spans="1:21" x14ac:dyDescent="0.25">
      <c r="A31" s="52"/>
      <c r="B31" s="52"/>
      <c r="C31" s="52"/>
      <c r="D31" s="52"/>
      <c r="E31" s="52"/>
      <c r="F31" s="52"/>
      <c r="G31" s="52"/>
      <c r="H31" s="52"/>
      <c r="I31" s="52"/>
      <c r="J31" s="52"/>
      <c r="K31" s="52"/>
      <c r="L31" s="52"/>
      <c r="M31" s="52"/>
      <c r="N31" s="52"/>
      <c r="O31" s="52"/>
      <c r="P31" s="52"/>
      <c r="Q31" s="52"/>
      <c r="R31" s="52"/>
      <c r="S31" s="52"/>
      <c r="T31" s="60">
        <f>'PIVOT TABLES'!F30</f>
        <v>0</v>
      </c>
      <c r="U31" s="52"/>
    </row>
    <row r="32" spans="1:21" x14ac:dyDescent="0.25">
      <c r="A32" s="52"/>
      <c r="B32" s="52"/>
      <c r="C32" s="52"/>
      <c r="D32" s="52"/>
      <c r="E32" s="52"/>
      <c r="F32" s="52"/>
      <c r="G32" s="52"/>
      <c r="H32" s="52"/>
      <c r="I32" s="52"/>
      <c r="J32" s="52"/>
      <c r="K32" s="52"/>
      <c r="L32" s="52"/>
      <c r="M32" s="52"/>
      <c r="N32" s="52"/>
      <c r="O32" s="52"/>
      <c r="P32" s="52"/>
      <c r="Q32" s="52"/>
      <c r="R32" s="52"/>
      <c r="S32" s="52"/>
      <c r="T32" s="52"/>
      <c r="U32" s="52"/>
    </row>
    <row r="33" spans="1:21" x14ac:dyDescent="0.25">
      <c r="A33" s="52"/>
      <c r="B33" s="52"/>
      <c r="C33" s="52"/>
      <c r="D33" s="52"/>
      <c r="E33" s="52"/>
      <c r="F33" s="52"/>
      <c r="G33" s="52"/>
      <c r="H33" s="52"/>
      <c r="I33" s="52"/>
      <c r="J33" s="52"/>
      <c r="K33" s="52"/>
      <c r="L33" s="52"/>
      <c r="M33" s="52"/>
      <c r="N33" s="52"/>
      <c r="O33" s="52"/>
      <c r="P33" s="52"/>
      <c r="Q33" s="52"/>
      <c r="R33" s="52"/>
      <c r="S33" s="52"/>
      <c r="T33" s="52"/>
      <c r="U33" s="52"/>
    </row>
    <row r="34" spans="1:21" x14ac:dyDescent="0.25">
      <c r="A34" s="52"/>
      <c r="B34" s="52"/>
      <c r="C34" s="52"/>
      <c r="D34" s="52"/>
      <c r="E34" s="52"/>
      <c r="F34" s="52"/>
      <c r="G34" s="52"/>
      <c r="H34" s="52"/>
      <c r="I34" s="52"/>
      <c r="J34" s="52"/>
      <c r="K34" s="52"/>
      <c r="L34" s="52"/>
      <c r="M34" s="52"/>
      <c r="N34" s="52"/>
      <c r="O34" s="52"/>
      <c r="P34" s="52"/>
      <c r="Q34" s="52"/>
      <c r="R34" s="52"/>
      <c r="S34" s="52"/>
      <c r="T34" s="52"/>
      <c r="U34" s="52"/>
    </row>
    <row r="35" spans="1:21" x14ac:dyDescent="0.25">
      <c r="A35" s="52"/>
      <c r="B35" s="52"/>
      <c r="C35" s="52"/>
      <c r="D35" s="52"/>
      <c r="E35" s="52"/>
      <c r="F35" s="52"/>
      <c r="G35" s="52"/>
      <c r="H35" s="52"/>
      <c r="I35" s="52"/>
      <c r="J35" s="52"/>
      <c r="K35" s="52"/>
      <c r="L35" s="52"/>
      <c r="M35" s="52"/>
      <c r="N35" s="52"/>
      <c r="O35" s="52"/>
      <c r="P35" s="52"/>
      <c r="Q35" s="52"/>
      <c r="R35" s="52"/>
      <c r="S35" s="52"/>
      <c r="T35" s="52"/>
      <c r="U35" s="52"/>
    </row>
    <row r="36" spans="1:21" x14ac:dyDescent="0.25">
      <c r="A36" s="52"/>
      <c r="B36" s="52"/>
      <c r="C36" s="52"/>
      <c r="D36" s="52"/>
      <c r="E36" s="52"/>
      <c r="F36" s="52"/>
      <c r="G36" s="52"/>
      <c r="H36" s="52"/>
      <c r="I36" s="52"/>
      <c r="J36" s="52"/>
      <c r="K36" s="52"/>
      <c r="L36" s="52"/>
      <c r="M36" s="52"/>
      <c r="N36" s="52"/>
      <c r="O36" s="52"/>
      <c r="P36" s="52"/>
      <c r="Q36" s="52"/>
      <c r="R36" s="52"/>
      <c r="S36" s="52"/>
      <c r="T36" s="52"/>
      <c r="U36" s="52"/>
    </row>
    <row r="37" spans="1:21" x14ac:dyDescent="0.25">
      <c r="A37" s="52"/>
      <c r="B37" s="52"/>
      <c r="C37" s="52"/>
      <c r="D37" s="52"/>
      <c r="E37" s="52"/>
      <c r="F37" s="52"/>
      <c r="G37" s="52"/>
      <c r="H37" s="52"/>
      <c r="I37" s="52"/>
      <c r="J37" s="52"/>
      <c r="K37" s="52"/>
      <c r="L37" s="52"/>
      <c r="M37" s="52"/>
      <c r="N37" s="52"/>
      <c r="O37" s="52"/>
      <c r="P37" s="52"/>
      <c r="Q37" s="52"/>
      <c r="R37" s="52"/>
      <c r="S37" s="52"/>
      <c r="T37" s="52"/>
      <c r="U37" s="52"/>
    </row>
    <row r="38" spans="1:21" x14ac:dyDescent="0.25">
      <c r="A38" s="52"/>
      <c r="B38" s="52"/>
      <c r="C38" s="52"/>
      <c r="D38" s="52"/>
      <c r="E38" s="52"/>
      <c r="F38" s="52"/>
      <c r="G38" s="52"/>
      <c r="H38" s="52"/>
      <c r="I38" s="52"/>
      <c r="J38" s="52"/>
      <c r="K38" s="52"/>
      <c r="L38" s="52"/>
      <c r="M38" s="52"/>
      <c r="N38" s="52"/>
      <c r="O38" s="52"/>
      <c r="P38" s="52"/>
      <c r="Q38" s="52"/>
      <c r="R38" s="52"/>
      <c r="S38" s="52"/>
      <c r="T38" s="52"/>
      <c r="U38" s="52"/>
    </row>
    <row r="39" spans="1:21" x14ac:dyDescent="0.25">
      <c r="A39" s="52"/>
      <c r="B39" s="52"/>
      <c r="C39" s="52"/>
      <c r="D39" s="52"/>
      <c r="E39" s="52"/>
      <c r="F39" s="52"/>
      <c r="G39" s="52"/>
      <c r="H39" s="52"/>
      <c r="I39" s="52"/>
      <c r="J39" s="52"/>
      <c r="K39" s="52"/>
      <c r="L39" s="52"/>
      <c r="M39" s="52"/>
      <c r="N39" s="52"/>
      <c r="O39" s="52"/>
      <c r="P39" s="52"/>
      <c r="Q39" s="52"/>
      <c r="R39" s="52"/>
      <c r="S39" s="52"/>
      <c r="T39" s="52"/>
      <c r="U39" s="52"/>
    </row>
    <row r="40" spans="1:21" x14ac:dyDescent="0.25">
      <c r="A40" s="52"/>
      <c r="B40" s="52"/>
      <c r="C40" s="52"/>
      <c r="D40" s="52"/>
      <c r="E40" s="52"/>
      <c r="F40" s="52"/>
      <c r="G40" s="52"/>
      <c r="H40" s="52"/>
      <c r="I40" s="52"/>
      <c r="J40" s="52"/>
      <c r="K40" s="52"/>
      <c r="L40" s="52"/>
      <c r="M40" s="52"/>
      <c r="N40" s="52"/>
      <c r="O40" s="52"/>
      <c r="P40" s="52"/>
      <c r="Q40" s="52"/>
      <c r="R40" s="52"/>
      <c r="S40" s="52"/>
      <c r="T40" s="52"/>
      <c r="U40" s="52"/>
    </row>
    <row r="41" spans="1:21" x14ac:dyDescent="0.25">
      <c r="A41" s="52"/>
      <c r="B41" s="52"/>
      <c r="C41" s="52"/>
      <c r="D41" s="52"/>
      <c r="E41" s="52"/>
      <c r="F41" s="52"/>
      <c r="G41" s="52"/>
      <c r="H41" s="52"/>
      <c r="I41" s="52"/>
      <c r="J41" s="52"/>
      <c r="K41" s="52"/>
      <c r="L41" s="52"/>
      <c r="M41" s="52"/>
      <c r="N41" s="52"/>
      <c r="O41" s="52"/>
      <c r="P41" s="52"/>
      <c r="Q41" s="52"/>
      <c r="R41" s="52"/>
      <c r="S41" s="52"/>
      <c r="T41" s="52"/>
      <c r="U41" s="52"/>
    </row>
    <row r="42" spans="1:21" x14ac:dyDescent="0.25">
      <c r="A42" s="52"/>
      <c r="B42" s="52"/>
      <c r="C42" s="52"/>
      <c r="D42" s="52"/>
      <c r="E42" s="52"/>
      <c r="F42" s="52"/>
      <c r="G42" s="52"/>
      <c r="H42" s="52"/>
      <c r="I42" s="52"/>
      <c r="J42" s="52"/>
      <c r="K42" s="52"/>
      <c r="L42" s="52"/>
      <c r="M42" s="52"/>
      <c r="N42" s="52"/>
      <c r="O42" s="52"/>
      <c r="P42" s="52"/>
      <c r="Q42" s="52"/>
      <c r="R42" s="52"/>
      <c r="S42" s="52"/>
      <c r="T42" s="52"/>
      <c r="U42" s="52"/>
    </row>
    <row r="43" spans="1:21" x14ac:dyDescent="0.25">
      <c r="A43" s="52"/>
      <c r="B43" s="52"/>
      <c r="C43" s="52"/>
      <c r="D43" s="52"/>
      <c r="E43" s="52"/>
      <c r="F43" s="52"/>
      <c r="G43" s="52"/>
      <c r="H43" s="52"/>
      <c r="I43" s="52"/>
      <c r="J43" s="52"/>
      <c r="K43" s="52"/>
      <c r="L43" s="52"/>
      <c r="M43" s="52"/>
      <c r="N43" s="52"/>
      <c r="O43" s="52"/>
      <c r="P43" s="52"/>
      <c r="Q43" s="52"/>
      <c r="R43" s="52"/>
      <c r="S43" s="52"/>
      <c r="T43" s="52"/>
      <c r="U43" s="52"/>
    </row>
    <row r="44" spans="1:21" x14ac:dyDescent="0.25">
      <c r="A44" s="52"/>
      <c r="B44" s="52"/>
      <c r="C44" s="52"/>
      <c r="D44" s="52"/>
      <c r="E44" s="52"/>
      <c r="F44" s="52"/>
      <c r="G44" s="52"/>
      <c r="H44" s="52"/>
      <c r="I44" s="52"/>
      <c r="J44" s="52"/>
      <c r="K44" s="52"/>
      <c r="L44" s="52"/>
      <c r="M44" s="52"/>
      <c r="N44" s="52"/>
      <c r="O44" s="52"/>
      <c r="P44" s="52"/>
      <c r="Q44" s="52"/>
      <c r="R44" s="52"/>
      <c r="S44" s="52"/>
      <c r="T44" s="52"/>
      <c r="U44" s="52"/>
    </row>
    <row r="45" spans="1:21" x14ac:dyDescent="0.25">
      <c r="A45" s="52"/>
      <c r="B45" s="52"/>
      <c r="C45" s="52"/>
      <c r="D45" s="52"/>
      <c r="E45" s="52"/>
      <c r="F45" s="52"/>
      <c r="G45" s="52"/>
      <c r="H45" s="52"/>
      <c r="I45" s="52"/>
      <c r="J45" s="52"/>
      <c r="K45" s="52"/>
      <c r="L45" s="52"/>
      <c r="M45" s="52"/>
      <c r="N45" s="52"/>
      <c r="O45" s="52"/>
      <c r="P45" s="52"/>
      <c r="Q45" s="52"/>
      <c r="R45" s="52"/>
      <c r="S45" s="52"/>
      <c r="T45" s="52"/>
      <c r="U45" s="52"/>
    </row>
    <row r="46" spans="1:21" x14ac:dyDescent="0.25">
      <c r="A46" s="52"/>
      <c r="B46" s="52"/>
      <c r="C46" s="52"/>
      <c r="D46" s="52"/>
      <c r="E46" s="52"/>
      <c r="F46" s="52"/>
      <c r="G46" s="52"/>
      <c r="H46" s="52"/>
      <c r="I46" s="52"/>
      <c r="J46" s="52"/>
      <c r="K46" s="52"/>
      <c r="L46" s="52"/>
      <c r="M46" s="52"/>
      <c r="N46" s="52"/>
      <c r="O46" s="52"/>
      <c r="P46" s="52"/>
      <c r="Q46" s="52"/>
      <c r="R46" s="52"/>
      <c r="S46" s="52"/>
      <c r="T46" s="52"/>
      <c r="U46" s="52"/>
    </row>
  </sheetData>
  <mergeCells count="3">
    <mergeCell ref="C1:J2"/>
    <mergeCell ref="C3:F3"/>
    <mergeCell ref="Q10:T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7520-C5C9-412B-B497-1F91BDFA7A34}">
  <dimension ref="A1:U201"/>
  <sheetViews>
    <sheetView zoomScaleNormal="100" zoomScaleSheetLayoutView="100" workbookViewId="0">
      <selection activeCell="M21" sqref="M21"/>
    </sheetView>
  </sheetViews>
  <sheetFormatPr defaultRowHeight="15" x14ac:dyDescent="0.25"/>
  <cols>
    <col min="1" max="1" width="20.28515625" style="1" customWidth="1"/>
    <col min="2" max="2" width="22.7109375" customWidth="1"/>
    <col min="3" max="3" width="18" customWidth="1"/>
    <col min="4" max="4" width="26.5703125" customWidth="1"/>
    <col min="5" max="5" width="17.85546875" style="2" customWidth="1"/>
    <col min="6" max="6" width="18.85546875" style="3" customWidth="1"/>
    <col min="7" max="7" width="16.28515625" style="4" customWidth="1"/>
    <col min="8" max="8" width="19.85546875" style="5" customWidth="1"/>
    <col min="9" max="9" width="17" customWidth="1"/>
    <col min="10" max="10" width="24.140625" customWidth="1"/>
    <col min="11" max="11" width="20" customWidth="1"/>
    <col min="12" max="12" width="21.5703125" customWidth="1"/>
    <col min="13" max="13" width="21.85546875" customWidth="1"/>
    <col min="14" max="14" width="25.28515625" customWidth="1"/>
    <col min="15" max="15" width="20.85546875" customWidth="1"/>
    <col min="16" max="16" width="18.7109375" customWidth="1"/>
    <col min="17" max="17" width="17.85546875" customWidth="1"/>
    <col min="18" max="18" width="15.28515625" customWidth="1"/>
    <col min="19" max="19" width="13" customWidth="1"/>
    <col min="20" max="20" width="16.7109375" customWidth="1"/>
    <col min="21" max="21" width="16.140625" customWidth="1"/>
  </cols>
  <sheetData>
    <row r="1" spans="1:15" ht="19.5" customHeight="1" x14ac:dyDescent="0.25">
      <c r="A1" s="6" t="s">
        <v>67</v>
      </c>
      <c r="B1" s="7" t="s">
        <v>68</v>
      </c>
      <c r="C1" s="7" t="s">
        <v>69</v>
      </c>
      <c r="D1" s="7" t="s">
        <v>70</v>
      </c>
      <c r="E1" s="27" t="s">
        <v>71</v>
      </c>
      <c r="F1" s="8" t="s">
        <v>72</v>
      </c>
      <c r="G1" s="9" t="s">
        <v>73</v>
      </c>
      <c r="H1" s="10" t="s">
        <v>74</v>
      </c>
      <c r="I1" s="28" t="s">
        <v>75</v>
      </c>
      <c r="J1" s="7" t="s">
        <v>76</v>
      </c>
      <c r="K1" s="25" t="s">
        <v>77</v>
      </c>
    </row>
    <row r="2" spans="1:15" x14ac:dyDescent="0.25">
      <c r="A2" s="11" t="s">
        <v>0</v>
      </c>
      <c r="B2" s="12" t="s">
        <v>1</v>
      </c>
      <c r="C2" s="12" t="s">
        <v>2</v>
      </c>
      <c r="D2" s="12" t="s">
        <v>3</v>
      </c>
      <c r="E2" s="13">
        <v>1036.0899999999999</v>
      </c>
      <c r="F2" s="14">
        <v>4</v>
      </c>
      <c r="G2" s="15">
        <v>0.2</v>
      </c>
      <c r="H2" s="16">
        <v>45392</v>
      </c>
      <c r="I2" s="13">
        <v>331.55</v>
      </c>
      <c r="J2" s="17">
        <f t="shared" ref="J2:J33" si="0">SUMIF($A$2:$A$201,A2,$E$2:$E$201)</f>
        <v>4640.1099999999997</v>
      </c>
      <c r="K2" s="26">
        <f t="shared" ref="K2:K33" ca="1" si="1">NOW()</f>
        <v>46287.008232175926</v>
      </c>
    </row>
    <row r="3" spans="1:15" x14ac:dyDescent="0.25">
      <c r="A3" s="11" t="s">
        <v>4</v>
      </c>
      <c r="B3" s="12" t="s">
        <v>5</v>
      </c>
      <c r="C3" s="12" t="s">
        <v>2</v>
      </c>
      <c r="D3" s="12" t="s">
        <v>6</v>
      </c>
      <c r="E3" s="13">
        <v>1101.28</v>
      </c>
      <c r="F3" s="14">
        <v>3</v>
      </c>
      <c r="G3" s="15">
        <v>0.2</v>
      </c>
      <c r="H3" s="16">
        <v>45393</v>
      </c>
      <c r="I3" s="13">
        <v>440.51</v>
      </c>
      <c r="J3" s="17">
        <f t="shared" si="0"/>
        <v>8339</v>
      </c>
      <c r="K3" s="26">
        <f t="shared" ca="1" si="1"/>
        <v>46287.008232175926</v>
      </c>
    </row>
    <row r="4" spans="1:15" x14ac:dyDescent="0.25">
      <c r="A4" s="11" t="s">
        <v>7</v>
      </c>
      <c r="B4" s="12" t="s">
        <v>8</v>
      </c>
      <c r="C4" s="12" t="s">
        <v>9</v>
      </c>
      <c r="D4" s="12" t="s">
        <v>3</v>
      </c>
      <c r="E4" s="13">
        <v>713.34</v>
      </c>
      <c r="F4" s="14">
        <v>17</v>
      </c>
      <c r="G4" s="15">
        <v>0</v>
      </c>
      <c r="H4" s="16">
        <v>45396</v>
      </c>
      <c r="I4" s="13">
        <v>285.33999999999997</v>
      </c>
      <c r="J4" s="17">
        <f t="shared" si="0"/>
        <v>3419.2</v>
      </c>
      <c r="K4" s="26">
        <f t="shared" ca="1" si="1"/>
        <v>46287.008232175926</v>
      </c>
    </row>
    <row r="5" spans="1:15" x14ac:dyDescent="0.25">
      <c r="A5" s="11" t="s">
        <v>10</v>
      </c>
      <c r="B5" s="12" t="s">
        <v>5</v>
      </c>
      <c r="C5" s="12" t="s">
        <v>11</v>
      </c>
      <c r="D5" s="12" t="s">
        <v>12</v>
      </c>
      <c r="E5" s="13">
        <v>760.93</v>
      </c>
      <c r="F5" s="14">
        <v>4</v>
      </c>
      <c r="G5" s="15">
        <v>0.15</v>
      </c>
      <c r="H5" s="16">
        <v>45396</v>
      </c>
      <c r="I5" s="13">
        <v>161.69999999999999</v>
      </c>
      <c r="J5" s="17">
        <f t="shared" si="0"/>
        <v>6666.130000000001</v>
      </c>
      <c r="K5" s="26">
        <f t="shared" ca="1" si="1"/>
        <v>46287.008232175926</v>
      </c>
      <c r="M5" s="64" t="s">
        <v>79</v>
      </c>
      <c r="N5" s="64"/>
      <c r="O5" s="64"/>
    </row>
    <row r="6" spans="1:15" x14ac:dyDescent="0.25">
      <c r="A6" s="11" t="s">
        <v>13</v>
      </c>
      <c r="B6" s="12" t="s">
        <v>14</v>
      </c>
      <c r="C6" s="12" t="s">
        <v>15</v>
      </c>
      <c r="D6" s="12" t="s">
        <v>3</v>
      </c>
      <c r="E6" s="13">
        <v>847</v>
      </c>
      <c r="F6" s="14">
        <v>12</v>
      </c>
      <c r="G6" s="15">
        <v>0.2</v>
      </c>
      <c r="H6" s="16">
        <v>45397</v>
      </c>
      <c r="I6" s="13">
        <v>271.04000000000002</v>
      </c>
      <c r="J6" s="17">
        <f t="shared" si="0"/>
        <v>7928.71</v>
      </c>
      <c r="K6" s="26">
        <f t="shared" ca="1" si="1"/>
        <v>46287.008232175926</v>
      </c>
      <c r="M6" s="21" t="s">
        <v>80</v>
      </c>
      <c r="N6" s="21" t="s">
        <v>78</v>
      </c>
      <c r="O6" s="21" t="s">
        <v>81</v>
      </c>
    </row>
    <row r="7" spans="1:15" x14ac:dyDescent="0.25">
      <c r="A7" s="11" t="s">
        <v>16</v>
      </c>
      <c r="B7" s="12" t="s">
        <v>17</v>
      </c>
      <c r="C7" s="12" t="s">
        <v>15</v>
      </c>
      <c r="D7" s="12" t="s">
        <v>18</v>
      </c>
      <c r="E7" s="13">
        <v>965.64</v>
      </c>
      <c r="F7" s="14">
        <v>8</v>
      </c>
      <c r="G7" s="15">
        <v>0.1</v>
      </c>
      <c r="H7" s="16">
        <v>45398</v>
      </c>
      <c r="I7" s="13">
        <v>304.18</v>
      </c>
      <c r="J7" s="17">
        <f t="shared" si="0"/>
        <v>9941.8799999999992</v>
      </c>
      <c r="K7" s="26">
        <f t="shared" ca="1" si="1"/>
        <v>46287.008232175926</v>
      </c>
      <c r="M7" s="18" t="str">
        <f t="shared" ref="M7:M16" si="2">INDEX(A2:A201,MATCH(O7,J2:J201,0))</f>
        <v>CUST015</v>
      </c>
      <c r="N7" s="18" t="str">
        <f t="shared" ref="N7:N16" si="3">INDEX(B2:B201,MATCH(O7,J2:J201,0))</f>
        <v>Linda Taylor</v>
      </c>
      <c r="O7" s="22">
        <f>LARGE(_xlfn.UNIQUE($J$2:$J$201),ROWS($O$7:O7))</f>
        <v>11611.060000000001</v>
      </c>
    </row>
    <row r="8" spans="1:15" x14ac:dyDescent="0.25">
      <c r="A8" s="11" t="s">
        <v>19</v>
      </c>
      <c r="B8" s="12" t="s">
        <v>20</v>
      </c>
      <c r="C8" s="12" t="s">
        <v>2</v>
      </c>
      <c r="D8" s="12" t="s">
        <v>12</v>
      </c>
      <c r="E8" s="13">
        <v>1317.53</v>
      </c>
      <c r="F8" s="14">
        <v>12</v>
      </c>
      <c r="G8" s="15">
        <v>0.05</v>
      </c>
      <c r="H8" s="16">
        <v>45398</v>
      </c>
      <c r="I8" s="13">
        <v>312.91000000000003</v>
      </c>
      <c r="J8" s="17">
        <f t="shared" si="0"/>
        <v>6549.55</v>
      </c>
      <c r="K8" s="26">
        <f t="shared" ca="1" si="1"/>
        <v>46287.008232175926</v>
      </c>
      <c r="M8" s="18" t="str">
        <f t="shared" si="2"/>
        <v>CUST028</v>
      </c>
      <c r="N8" s="18" t="str">
        <f t="shared" si="3"/>
        <v>Linda Taylor</v>
      </c>
      <c r="O8" s="23">
        <f>LARGE(_xlfn.UNIQUE($J$2:$J$201),ROWS($O$7:O8))</f>
        <v>10293.870000000001</v>
      </c>
    </row>
    <row r="9" spans="1:15" x14ac:dyDescent="0.25">
      <c r="A9" s="11" t="s">
        <v>21</v>
      </c>
      <c r="B9" s="12" t="s">
        <v>22</v>
      </c>
      <c r="C9" s="12" t="s">
        <v>9</v>
      </c>
      <c r="D9" s="12" t="s">
        <v>18</v>
      </c>
      <c r="E9" s="13">
        <v>1074.47</v>
      </c>
      <c r="F9" s="14">
        <v>6</v>
      </c>
      <c r="G9" s="15">
        <v>0.2</v>
      </c>
      <c r="H9" s="16">
        <v>45401</v>
      </c>
      <c r="I9" s="13">
        <v>300.85000000000002</v>
      </c>
      <c r="J9" s="17">
        <f t="shared" si="0"/>
        <v>9371.81</v>
      </c>
      <c r="K9" s="26">
        <f t="shared" ca="1" si="1"/>
        <v>46287.008232175926</v>
      </c>
      <c r="M9" s="18" t="str">
        <f t="shared" si="2"/>
        <v>CUST007</v>
      </c>
      <c r="N9" s="18" t="str">
        <f t="shared" si="3"/>
        <v>Michael Anderson</v>
      </c>
      <c r="O9" s="23">
        <f>LARGE(_xlfn.UNIQUE($J$2:$J$201),ROWS($O$7:O9))</f>
        <v>9941.8799999999992</v>
      </c>
    </row>
    <row r="10" spans="1:15" x14ac:dyDescent="0.25">
      <c r="A10" s="11" t="s">
        <v>23</v>
      </c>
      <c r="B10" s="12" t="s">
        <v>24</v>
      </c>
      <c r="C10" s="12" t="s">
        <v>25</v>
      </c>
      <c r="D10" s="12" t="s">
        <v>3</v>
      </c>
      <c r="E10" s="13">
        <v>501.54</v>
      </c>
      <c r="F10" s="14">
        <v>11</v>
      </c>
      <c r="G10" s="15">
        <v>0.05</v>
      </c>
      <c r="H10" s="16">
        <v>45401</v>
      </c>
      <c r="I10" s="13">
        <v>190.59</v>
      </c>
      <c r="J10" s="17">
        <f t="shared" si="0"/>
        <v>6505.2</v>
      </c>
      <c r="K10" s="26">
        <f t="shared" ca="1" si="1"/>
        <v>46287.008232175926</v>
      </c>
      <c r="M10" s="18" t="str">
        <f t="shared" si="2"/>
        <v>CUST008</v>
      </c>
      <c r="N10" s="18" t="str">
        <f t="shared" si="3"/>
        <v>Robert Anderson</v>
      </c>
      <c r="O10" s="23">
        <f>LARGE(_xlfn.UNIQUE($J$2:$J$201),ROWS($O$7:O10))</f>
        <v>9760.7999999999993</v>
      </c>
    </row>
    <row r="11" spans="1:15" x14ac:dyDescent="0.25">
      <c r="A11" s="11" t="s">
        <v>26</v>
      </c>
      <c r="B11" s="12" t="s">
        <v>27</v>
      </c>
      <c r="C11" s="12" t="s">
        <v>25</v>
      </c>
      <c r="D11" s="12" t="s">
        <v>6</v>
      </c>
      <c r="E11" s="13">
        <v>737.31</v>
      </c>
      <c r="F11" s="14">
        <v>2</v>
      </c>
      <c r="G11" s="15">
        <v>0.05</v>
      </c>
      <c r="H11" s="16">
        <v>45401</v>
      </c>
      <c r="I11" s="13">
        <v>350.22</v>
      </c>
      <c r="J11" s="17">
        <f t="shared" si="0"/>
        <v>4259.22</v>
      </c>
      <c r="K11" s="26">
        <f t="shared" ca="1" si="1"/>
        <v>46287.008232175926</v>
      </c>
      <c r="M11" s="18" t="str">
        <f t="shared" si="2"/>
        <v>CUST026</v>
      </c>
      <c r="N11" s="18" t="str">
        <f t="shared" si="3"/>
        <v>Mary Davis</v>
      </c>
      <c r="O11" s="23">
        <f>LARGE(_xlfn.UNIQUE($J$2:$J$201),ROWS($O$7:O11))</f>
        <v>9371.81</v>
      </c>
    </row>
    <row r="12" spans="1:15" x14ac:dyDescent="0.25">
      <c r="A12" s="11" t="s">
        <v>28</v>
      </c>
      <c r="B12" s="12" t="s">
        <v>29</v>
      </c>
      <c r="C12" s="12" t="s">
        <v>2</v>
      </c>
      <c r="D12" s="12" t="s">
        <v>30</v>
      </c>
      <c r="E12" s="13">
        <v>1572.82</v>
      </c>
      <c r="F12" s="14">
        <v>6</v>
      </c>
      <c r="G12" s="15">
        <v>0.05</v>
      </c>
      <c r="H12" s="16">
        <v>45402</v>
      </c>
      <c r="I12" s="13">
        <v>672.38</v>
      </c>
      <c r="J12" s="17">
        <f t="shared" si="0"/>
        <v>6729.8899999999994</v>
      </c>
      <c r="K12" s="26">
        <f t="shared" ca="1" si="1"/>
        <v>46287.008232175926</v>
      </c>
      <c r="M12" s="18" t="str">
        <f t="shared" si="2"/>
        <v>CUST021</v>
      </c>
      <c r="N12" s="18" t="str">
        <f t="shared" si="3"/>
        <v>Sarah Anderson</v>
      </c>
      <c r="O12" s="24">
        <f>LARGE(_xlfn.UNIQUE($J$2:$J$201),ROWS($O$7:O12))</f>
        <v>8740.18</v>
      </c>
    </row>
    <row r="13" spans="1:15" x14ac:dyDescent="0.25">
      <c r="A13" s="11" t="s">
        <v>28</v>
      </c>
      <c r="B13" s="12" t="s">
        <v>27</v>
      </c>
      <c r="C13" s="12" t="s">
        <v>25</v>
      </c>
      <c r="D13" s="12" t="s">
        <v>3</v>
      </c>
      <c r="E13" s="13">
        <v>1343.13</v>
      </c>
      <c r="F13" s="14">
        <v>14</v>
      </c>
      <c r="G13" s="15">
        <v>0.15</v>
      </c>
      <c r="H13" s="16">
        <v>45404</v>
      </c>
      <c r="I13" s="13">
        <v>456.66</v>
      </c>
      <c r="J13" s="17">
        <f t="shared" si="0"/>
        <v>6729.8899999999994</v>
      </c>
      <c r="K13" s="26">
        <f t="shared" ca="1" si="1"/>
        <v>46287.008232175926</v>
      </c>
      <c r="M13" s="18" t="str">
        <f t="shared" si="2"/>
        <v>CUST003</v>
      </c>
      <c r="N13" s="18" t="str">
        <f t="shared" si="3"/>
        <v>Emma Davis</v>
      </c>
      <c r="O13" s="24">
        <f>LARGE(_xlfn.UNIQUE($J$2:$J$201),ROWS($O$7:O13))</f>
        <v>8490.18</v>
      </c>
    </row>
    <row r="14" spans="1:15" x14ac:dyDescent="0.25">
      <c r="A14" s="11" t="s">
        <v>16</v>
      </c>
      <c r="B14" s="12" t="s">
        <v>17</v>
      </c>
      <c r="C14" s="12" t="s">
        <v>25</v>
      </c>
      <c r="D14" s="12" t="s">
        <v>3</v>
      </c>
      <c r="E14" s="13">
        <v>1191.58</v>
      </c>
      <c r="F14" s="14">
        <v>14</v>
      </c>
      <c r="G14" s="15">
        <v>0.05</v>
      </c>
      <c r="H14" s="16">
        <v>45406</v>
      </c>
      <c r="I14" s="13">
        <v>452.8</v>
      </c>
      <c r="J14" s="17">
        <f t="shared" si="0"/>
        <v>9941.8799999999992</v>
      </c>
      <c r="K14" s="26">
        <f t="shared" ca="1" si="1"/>
        <v>46287.008232175926</v>
      </c>
      <c r="M14" s="18" t="str">
        <f t="shared" si="2"/>
        <v>CUST012</v>
      </c>
      <c r="N14" s="18" t="str">
        <f t="shared" si="3"/>
        <v>Mary Davis</v>
      </c>
      <c r="O14" s="24">
        <f>LARGE(_xlfn.UNIQUE($J$2:$J$201),ROWS($O$7:O14))</f>
        <v>8339</v>
      </c>
    </row>
    <row r="15" spans="1:15" x14ac:dyDescent="0.25">
      <c r="A15" s="11" t="s">
        <v>31</v>
      </c>
      <c r="B15" s="12" t="s">
        <v>5</v>
      </c>
      <c r="C15" s="12" t="s">
        <v>2</v>
      </c>
      <c r="D15" s="12" t="s">
        <v>18</v>
      </c>
      <c r="E15" s="13">
        <v>822.28</v>
      </c>
      <c r="F15" s="14">
        <v>7</v>
      </c>
      <c r="G15" s="15">
        <v>0.05</v>
      </c>
      <c r="H15" s="16">
        <v>45406</v>
      </c>
      <c r="I15" s="13">
        <v>273.41000000000003</v>
      </c>
      <c r="J15" s="17">
        <f t="shared" si="0"/>
        <v>5913.68</v>
      </c>
      <c r="K15" s="26">
        <f t="shared" ca="1" si="1"/>
        <v>46287.008232175926</v>
      </c>
      <c r="M15" s="18" t="str">
        <f t="shared" si="2"/>
        <v>CUST030</v>
      </c>
      <c r="N15" s="18" t="str">
        <f t="shared" si="3"/>
        <v>John Brown</v>
      </c>
      <c r="O15" s="24">
        <f>LARGE(_xlfn.UNIQUE($J$2:$J$201),ROWS($O$7:O15))</f>
        <v>7928.71</v>
      </c>
    </row>
    <row r="16" spans="1:15" x14ac:dyDescent="0.25">
      <c r="A16" s="11" t="s">
        <v>32</v>
      </c>
      <c r="B16" s="12" t="s">
        <v>33</v>
      </c>
      <c r="C16" s="12" t="s">
        <v>15</v>
      </c>
      <c r="D16" s="12" t="s">
        <v>18</v>
      </c>
      <c r="E16" s="13">
        <v>521.66999999999996</v>
      </c>
      <c r="F16" s="14">
        <v>15</v>
      </c>
      <c r="G16" s="15">
        <v>0.15</v>
      </c>
      <c r="H16" s="16">
        <v>45409</v>
      </c>
      <c r="I16" s="13">
        <v>155.19999999999999</v>
      </c>
      <c r="J16" s="17">
        <f t="shared" si="0"/>
        <v>5779.05</v>
      </c>
      <c r="K16" s="26">
        <f t="shared" ca="1" si="1"/>
        <v>46287.008232175926</v>
      </c>
      <c r="M16" s="18" t="str">
        <f t="shared" si="2"/>
        <v>CUST004</v>
      </c>
      <c r="N16" s="18" t="str">
        <f t="shared" si="3"/>
        <v>Lisa Thomas</v>
      </c>
      <c r="O16" s="24">
        <f>LARGE(_xlfn.UNIQUE($J$2:$J$201),ROWS($O$7:O16))</f>
        <v>7813.59</v>
      </c>
    </row>
    <row r="17" spans="1:21" x14ac:dyDescent="0.25">
      <c r="A17" s="11" t="s">
        <v>10</v>
      </c>
      <c r="B17" s="12" t="s">
        <v>34</v>
      </c>
      <c r="C17" s="12" t="s">
        <v>11</v>
      </c>
      <c r="D17" s="12" t="s">
        <v>12</v>
      </c>
      <c r="E17" s="13">
        <v>1502.93</v>
      </c>
      <c r="F17" s="14">
        <v>14</v>
      </c>
      <c r="G17" s="15">
        <v>0.2</v>
      </c>
      <c r="H17" s="16">
        <v>45410</v>
      </c>
      <c r="I17" s="13">
        <v>300.58999999999997</v>
      </c>
      <c r="J17" s="17">
        <f t="shared" si="0"/>
        <v>6666.130000000001</v>
      </c>
      <c r="K17" s="26">
        <f t="shared" ca="1" si="1"/>
        <v>46287.008232175926</v>
      </c>
    </row>
    <row r="18" spans="1:21" x14ac:dyDescent="0.25">
      <c r="A18" s="11" t="s">
        <v>35</v>
      </c>
      <c r="B18" s="12" t="s">
        <v>5</v>
      </c>
      <c r="C18" s="12" t="s">
        <v>11</v>
      </c>
      <c r="D18" s="12" t="s">
        <v>3</v>
      </c>
      <c r="E18" s="13">
        <v>877.58</v>
      </c>
      <c r="F18" s="14">
        <v>10</v>
      </c>
      <c r="G18" s="15">
        <v>0.15</v>
      </c>
      <c r="H18" s="16">
        <v>45411</v>
      </c>
      <c r="I18" s="13">
        <v>298.38</v>
      </c>
      <c r="J18" s="17">
        <f t="shared" si="0"/>
        <v>9760.7999999999993</v>
      </c>
      <c r="K18" s="26">
        <f t="shared" ca="1" si="1"/>
        <v>46287.008232175926</v>
      </c>
    </row>
    <row r="19" spans="1:21" ht="15.75" x14ac:dyDescent="0.25">
      <c r="A19" s="11" t="s">
        <v>19</v>
      </c>
      <c r="B19" s="12" t="s">
        <v>36</v>
      </c>
      <c r="C19" s="12" t="s">
        <v>2</v>
      </c>
      <c r="D19" s="12" t="s">
        <v>3</v>
      </c>
      <c r="E19" s="13">
        <v>636.70000000000005</v>
      </c>
      <c r="F19" s="14">
        <v>4</v>
      </c>
      <c r="G19" s="15">
        <v>0.2</v>
      </c>
      <c r="H19" s="16">
        <v>45411</v>
      </c>
      <c r="I19" s="13">
        <v>203.74</v>
      </c>
      <c r="J19" s="17">
        <f t="shared" si="0"/>
        <v>6549.55</v>
      </c>
      <c r="K19" s="26">
        <f t="shared" ca="1" si="1"/>
        <v>46287.008232175926</v>
      </c>
      <c r="M19" s="65" t="s">
        <v>123</v>
      </c>
      <c r="N19" s="65"/>
      <c r="O19" s="65"/>
      <c r="P19" s="65"/>
      <c r="Q19" s="65"/>
      <c r="R19" s="65"/>
      <c r="S19" s="65"/>
      <c r="T19" s="65"/>
      <c r="U19" s="65"/>
    </row>
    <row r="20" spans="1:21" x14ac:dyDescent="0.25">
      <c r="A20" s="11" t="s">
        <v>37</v>
      </c>
      <c r="B20" s="12" t="s">
        <v>38</v>
      </c>
      <c r="C20" s="12" t="s">
        <v>2</v>
      </c>
      <c r="D20" s="12" t="s">
        <v>3</v>
      </c>
      <c r="E20" s="13">
        <v>1506.14</v>
      </c>
      <c r="F20" s="14">
        <v>13</v>
      </c>
      <c r="G20" s="15">
        <v>0.2</v>
      </c>
      <c r="H20" s="16">
        <v>45412</v>
      </c>
      <c r="I20" s="13">
        <v>481.96</v>
      </c>
      <c r="J20" s="17">
        <f t="shared" si="0"/>
        <v>2699.75</v>
      </c>
      <c r="K20" s="26">
        <f t="shared" ca="1" si="1"/>
        <v>46287.008232175926</v>
      </c>
      <c r="M20" s="34" t="s">
        <v>78</v>
      </c>
      <c r="N20" s="34" t="s">
        <v>69</v>
      </c>
      <c r="O20" s="34" t="s">
        <v>120</v>
      </c>
      <c r="P20" s="34" t="s">
        <v>71</v>
      </c>
      <c r="Q20" s="34" t="s">
        <v>72</v>
      </c>
      <c r="R20" s="34" t="s">
        <v>73</v>
      </c>
      <c r="S20" s="34" t="s">
        <v>121</v>
      </c>
      <c r="T20" s="34" t="s">
        <v>75</v>
      </c>
      <c r="U20" s="34" t="s">
        <v>122</v>
      </c>
    </row>
    <row r="21" spans="1:21" x14ac:dyDescent="0.25">
      <c r="A21" s="11" t="s">
        <v>21</v>
      </c>
      <c r="B21" s="12" t="s">
        <v>22</v>
      </c>
      <c r="C21" s="12" t="s">
        <v>25</v>
      </c>
      <c r="D21" s="12" t="s">
        <v>12</v>
      </c>
      <c r="E21" s="13">
        <v>645.02</v>
      </c>
      <c r="F21" s="14">
        <v>4</v>
      </c>
      <c r="G21" s="15">
        <v>0</v>
      </c>
      <c r="H21" s="16">
        <v>45414</v>
      </c>
      <c r="I21" s="13">
        <v>161.26</v>
      </c>
      <c r="J21" s="17">
        <f t="shared" si="0"/>
        <v>9371.81</v>
      </c>
      <c r="K21" s="26">
        <f t="shared" ca="1" si="1"/>
        <v>46287.008232175926</v>
      </c>
      <c r="M21" s="29" t="str" cm="1">
        <f t="array" ref="M21:U31">_xlfn._xlws.FILTER($B$2:$J$201,$J$2:$J$201=MAX($J$2:$J$201))</f>
        <v>Linda Taylor</v>
      </c>
      <c r="N21" s="29" t="str">
        <v>North</v>
      </c>
      <c r="O21" s="29" t="str">
        <v>Office Supplies</v>
      </c>
      <c r="P21" s="29">
        <v>1200.9000000000001</v>
      </c>
      <c r="Q21" s="29">
        <v>14</v>
      </c>
      <c r="R21" s="29">
        <v>0.05</v>
      </c>
      <c r="S21" s="29">
        <v>45429</v>
      </c>
      <c r="T21" s="29">
        <v>513.38</v>
      </c>
      <c r="U21" s="29">
        <v>11611.060000000001</v>
      </c>
    </row>
    <row r="22" spans="1:21" x14ac:dyDescent="0.25">
      <c r="A22" s="11" t="s">
        <v>16</v>
      </c>
      <c r="B22" s="12" t="s">
        <v>39</v>
      </c>
      <c r="C22" s="12" t="s">
        <v>11</v>
      </c>
      <c r="D22" s="12" t="s">
        <v>6</v>
      </c>
      <c r="E22" s="13">
        <v>953.3</v>
      </c>
      <c r="F22" s="14">
        <v>11</v>
      </c>
      <c r="G22" s="15">
        <v>0</v>
      </c>
      <c r="H22" s="16">
        <v>45415</v>
      </c>
      <c r="I22" s="13">
        <v>476.65</v>
      </c>
      <c r="J22" s="17">
        <f t="shared" si="0"/>
        <v>9941.8799999999992</v>
      </c>
      <c r="K22" s="26">
        <f t="shared" ca="1" si="1"/>
        <v>46287.008232175926</v>
      </c>
      <c r="M22" s="31" t="str">
        <v>James Wilson</v>
      </c>
      <c r="N22" s="31" t="str">
        <v>South</v>
      </c>
      <c r="O22" s="31" t="str">
        <v>Clothing</v>
      </c>
      <c r="P22" s="31">
        <v>1226.6199999999999</v>
      </c>
      <c r="Q22" s="31">
        <v>7</v>
      </c>
      <c r="R22" s="31">
        <v>0.1</v>
      </c>
      <c r="S22" s="31">
        <v>45463</v>
      </c>
      <c r="T22" s="31">
        <v>551.98</v>
      </c>
      <c r="U22" s="31">
        <v>11611.060000000001</v>
      </c>
    </row>
    <row r="23" spans="1:21" x14ac:dyDescent="0.25">
      <c r="A23" s="11" t="s">
        <v>40</v>
      </c>
      <c r="B23" s="12" t="s">
        <v>5</v>
      </c>
      <c r="C23" s="12" t="s">
        <v>15</v>
      </c>
      <c r="D23" s="12" t="s">
        <v>12</v>
      </c>
      <c r="E23" s="13">
        <v>388.56</v>
      </c>
      <c r="F23" s="14">
        <v>14</v>
      </c>
      <c r="G23" s="15">
        <v>0.15</v>
      </c>
      <c r="H23" s="16">
        <v>45416</v>
      </c>
      <c r="I23" s="13">
        <v>82.57</v>
      </c>
      <c r="J23" s="17">
        <f t="shared" si="0"/>
        <v>4418.2800000000007</v>
      </c>
      <c r="K23" s="26">
        <f t="shared" ca="1" si="1"/>
        <v>46287.008232175926</v>
      </c>
      <c r="M23" s="29" t="str">
        <v>David Thomas</v>
      </c>
      <c r="N23" s="29" t="str">
        <v>West</v>
      </c>
      <c r="O23" s="29" t="str">
        <v>Clothing</v>
      </c>
      <c r="P23" s="33">
        <v>1168.8900000000001</v>
      </c>
      <c r="Q23" s="29">
        <v>4</v>
      </c>
      <c r="R23" s="29">
        <v>0.1</v>
      </c>
      <c r="S23" s="29">
        <v>45544</v>
      </c>
      <c r="T23" s="29">
        <v>526</v>
      </c>
      <c r="U23" s="29">
        <v>11611.060000000001</v>
      </c>
    </row>
    <row r="24" spans="1:21" x14ac:dyDescent="0.25">
      <c r="A24" s="11" t="s">
        <v>0</v>
      </c>
      <c r="B24" s="12" t="s">
        <v>22</v>
      </c>
      <c r="C24" s="12" t="s">
        <v>2</v>
      </c>
      <c r="D24" s="12" t="s">
        <v>3</v>
      </c>
      <c r="E24" s="13">
        <v>743.17</v>
      </c>
      <c r="F24" s="14">
        <v>9</v>
      </c>
      <c r="G24" s="15">
        <v>0</v>
      </c>
      <c r="H24" s="16">
        <v>45416</v>
      </c>
      <c r="I24" s="13">
        <v>297.27</v>
      </c>
      <c r="J24" s="17">
        <f t="shared" si="0"/>
        <v>4640.1099999999997</v>
      </c>
      <c r="K24" s="26">
        <f t="shared" ca="1" si="1"/>
        <v>46287.008232175926</v>
      </c>
      <c r="M24" s="31" t="str">
        <v>James Wilson</v>
      </c>
      <c r="N24" s="31" t="str">
        <v>West</v>
      </c>
      <c r="O24" s="31" t="str">
        <v>Clothing</v>
      </c>
      <c r="P24" s="31">
        <v>1923.66</v>
      </c>
      <c r="Q24" s="31">
        <v>9</v>
      </c>
      <c r="R24" s="31">
        <v>0.2</v>
      </c>
      <c r="S24" s="31">
        <v>45580</v>
      </c>
      <c r="T24" s="31">
        <v>769.46</v>
      </c>
      <c r="U24" s="31">
        <v>11611.060000000001</v>
      </c>
    </row>
    <row r="25" spans="1:21" x14ac:dyDescent="0.25">
      <c r="A25" s="11" t="s">
        <v>31</v>
      </c>
      <c r="B25" s="12" t="s">
        <v>22</v>
      </c>
      <c r="C25" s="12" t="s">
        <v>25</v>
      </c>
      <c r="D25" s="12" t="s">
        <v>12</v>
      </c>
      <c r="E25" s="13">
        <v>706.37</v>
      </c>
      <c r="F25" s="14">
        <v>6</v>
      </c>
      <c r="G25" s="15">
        <v>0</v>
      </c>
      <c r="H25" s="16">
        <v>45416</v>
      </c>
      <c r="I25" s="13">
        <v>176.59</v>
      </c>
      <c r="J25" s="17">
        <f t="shared" si="0"/>
        <v>5913.68</v>
      </c>
      <c r="K25" s="26">
        <f t="shared" ca="1" si="1"/>
        <v>46287.008232175926</v>
      </c>
      <c r="M25" s="29" t="str">
        <v>David Anderson</v>
      </c>
      <c r="N25" s="29" t="str">
        <v>West</v>
      </c>
      <c r="O25" s="29" t="str">
        <v>Furniture</v>
      </c>
      <c r="P25" s="29">
        <v>820.19</v>
      </c>
      <c r="Q25" s="29">
        <v>4</v>
      </c>
      <c r="R25" s="29">
        <v>0.2</v>
      </c>
      <c r="S25" s="29">
        <v>45630</v>
      </c>
      <c r="T25" s="29">
        <v>229.65</v>
      </c>
      <c r="U25" s="29">
        <v>11611.060000000001</v>
      </c>
    </row>
    <row r="26" spans="1:21" x14ac:dyDescent="0.25">
      <c r="A26" s="11" t="s">
        <v>4</v>
      </c>
      <c r="B26" s="12" t="s">
        <v>22</v>
      </c>
      <c r="C26" s="12" t="s">
        <v>25</v>
      </c>
      <c r="D26" s="12" t="s">
        <v>30</v>
      </c>
      <c r="E26" s="13">
        <v>925.31</v>
      </c>
      <c r="F26" s="14">
        <v>8</v>
      </c>
      <c r="G26" s="15">
        <v>0.1</v>
      </c>
      <c r="H26" s="16">
        <v>45418</v>
      </c>
      <c r="I26" s="13">
        <v>374.75</v>
      </c>
      <c r="J26" s="17">
        <f t="shared" si="0"/>
        <v>8339</v>
      </c>
      <c r="K26" s="26">
        <f t="shared" ca="1" si="1"/>
        <v>46287.008232175926</v>
      </c>
      <c r="M26" s="31" t="str">
        <v>Emma Davis</v>
      </c>
      <c r="N26" s="31" t="str">
        <v>Central</v>
      </c>
      <c r="O26" s="31" t="str">
        <v>Electronics</v>
      </c>
      <c r="P26" s="31">
        <v>511.74</v>
      </c>
      <c r="Q26" s="31">
        <v>8</v>
      </c>
      <c r="R26" s="31">
        <v>0.05</v>
      </c>
      <c r="S26" s="31">
        <v>45631</v>
      </c>
      <c r="T26" s="31">
        <v>121.54</v>
      </c>
      <c r="U26" s="31">
        <v>11611.060000000001</v>
      </c>
    </row>
    <row r="27" spans="1:21" x14ac:dyDescent="0.25">
      <c r="A27" s="11" t="s">
        <v>26</v>
      </c>
      <c r="B27" s="12" t="s">
        <v>41</v>
      </c>
      <c r="C27" s="12" t="s">
        <v>11</v>
      </c>
      <c r="D27" s="12" t="s">
        <v>12</v>
      </c>
      <c r="E27" s="13">
        <v>1173.1199999999999</v>
      </c>
      <c r="F27" s="14">
        <v>18</v>
      </c>
      <c r="G27" s="15">
        <v>0</v>
      </c>
      <c r="H27" s="16">
        <v>45418</v>
      </c>
      <c r="I27" s="13">
        <v>293.27999999999997</v>
      </c>
      <c r="J27" s="17">
        <f t="shared" si="0"/>
        <v>4259.22</v>
      </c>
      <c r="K27" s="26">
        <f t="shared" ca="1" si="1"/>
        <v>46287.008232175926</v>
      </c>
      <c r="M27" s="29" t="str">
        <v>Robert Anderson</v>
      </c>
      <c r="N27" s="29" t="str">
        <v>South</v>
      </c>
      <c r="O27" s="29" t="str">
        <v>Furniture</v>
      </c>
      <c r="P27" s="29">
        <v>1054.56</v>
      </c>
      <c r="Q27" s="29">
        <v>11</v>
      </c>
      <c r="R27" s="29">
        <v>0.1</v>
      </c>
      <c r="S27" s="29">
        <v>45669</v>
      </c>
      <c r="T27" s="29">
        <v>332.19</v>
      </c>
      <c r="U27" s="29">
        <v>11611.060000000001</v>
      </c>
    </row>
    <row r="28" spans="1:21" x14ac:dyDescent="0.25">
      <c r="A28" s="11" t="s">
        <v>13</v>
      </c>
      <c r="B28" s="12" t="s">
        <v>42</v>
      </c>
      <c r="C28" s="12" t="s">
        <v>15</v>
      </c>
      <c r="D28" s="12" t="s">
        <v>18</v>
      </c>
      <c r="E28" s="13">
        <v>675.54</v>
      </c>
      <c r="F28" s="14">
        <v>17</v>
      </c>
      <c r="G28" s="15">
        <v>0</v>
      </c>
      <c r="H28" s="16">
        <v>45420</v>
      </c>
      <c r="I28" s="13">
        <v>236.44</v>
      </c>
      <c r="J28" s="17">
        <f t="shared" si="0"/>
        <v>7928.71</v>
      </c>
      <c r="K28" s="26">
        <f t="shared" ca="1" si="1"/>
        <v>46287.008232175926</v>
      </c>
      <c r="M28" s="31" t="str">
        <v>James Wilson</v>
      </c>
      <c r="N28" s="31" t="str">
        <v>North</v>
      </c>
      <c r="O28" s="31" t="str">
        <v>Electronics</v>
      </c>
      <c r="P28" s="31">
        <v>1681.21</v>
      </c>
      <c r="Q28" s="31">
        <v>5</v>
      </c>
      <c r="R28" s="31">
        <v>0.2</v>
      </c>
      <c r="S28" s="31">
        <v>45670</v>
      </c>
      <c r="T28" s="31">
        <v>336.24</v>
      </c>
      <c r="U28" s="31">
        <v>11611.060000000001</v>
      </c>
    </row>
    <row r="29" spans="1:21" x14ac:dyDescent="0.25">
      <c r="A29" s="11" t="s">
        <v>16</v>
      </c>
      <c r="B29" s="12" t="s">
        <v>5</v>
      </c>
      <c r="C29" s="12" t="s">
        <v>25</v>
      </c>
      <c r="D29" s="12" t="s">
        <v>3</v>
      </c>
      <c r="E29" s="13">
        <v>939.09</v>
      </c>
      <c r="F29" s="14">
        <v>2</v>
      </c>
      <c r="G29" s="15">
        <v>0.05</v>
      </c>
      <c r="H29" s="16">
        <v>45422</v>
      </c>
      <c r="I29" s="13">
        <v>356.85</v>
      </c>
      <c r="J29" s="17">
        <f t="shared" si="0"/>
        <v>9941.8799999999992</v>
      </c>
      <c r="K29" s="26">
        <f t="shared" ca="1" si="1"/>
        <v>46287.008232175926</v>
      </c>
      <c r="M29" s="29" t="str">
        <v>David Thomas</v>
      </c>
      <c r="N29" s="29" t="str">
        <v>West</v>
      </c>
      <c r="O29" s="29" t="str">
        <v>Clothing</v>
      </c>
      <c r="P29" s="29">
        <v>379.77</v>
      </c>
      <c r="Q29" s="29">
        <v>9</v>
      </c>
      <c r="R29" s="29">
        <v>0.05</v>
      </c>
      <c r="S29" s="29">
        <v>45673</v>
      </c>
      <c r="T29" s="29">
        <v>180.39</v>
      </c>
      <c r="U29" s="29">
        <v>11611.060000000001</v>
      </c>
    </row>
    <row r="30" spans="1:21" x14ac:dyDescent="0.25">
      <c r="A30" s="11" t="s">
        <v>43</v>
      </c>
      <c r="B30" s="12" t="s">
        <v>44</v>
      </c>
      <c r="C30" s="12" t="s">
        <v>9</v>
      </c>
      <c r="D30" s="12" t="s">
        <v>30</v>
      </c>
      <c r="E30" s="13">
        <v>983.34</v>
      </c>
      <c r="F30" s="14">
        <v>19</v>
      </c>
      <c r="G30" s="15">
        <v>0.1</v>
      </c>
      <c r="H30" s="16">
        <v>45426</v>
      </c>
      <c r="I30" s="13">
        <v>398.25</v>
      </c>
      <c r="J30" s="17">
        <f t="shared" si="0"/>
        <v>10293.870000000001</v>
      </c>
      <c r="K30" s="26">
        <f t="shared" ca="1" si="1"/>
        <v>46287.008232175926</v>
      </c>
      <c r="M30" s="31" t="str">
        <v>Lisa Thomas</v>
      </c>
      <c r="N30" s="31" t="str">
        <v>East</v>
      </c>
      <c r="O30" s="31" t="str">
        <v>Books</v>
      </c>
      <c r="P30" s="31">
        <v>1098.08</v>
      </c>
      <c r="Q30" s="31">
        <v>9</v>
      </c>
      <c r="R30" s="31">
        <v>0.1</v>
      </c>
      <c r="S30" s="31">
        <v>45692</v>
      </c>
      <c r="T30" s="31">
        <v>395.31</v>
      </c>
      <c r="U30" s="31">
        <v>11611.060000000001</v>
      </c>
    </row>
    <row r="31" spans="1:21" x14ac:dyDescent="0.25">
      <c r="A31" s="11" t="s">
        <v>43</v>
      </c>
      <c r="B31" s="12" t="s">
        <v>14</v>
      </c>
      <c r="C31" s="12" t="s">
        <v>11</v>
      </c>
      <c r="D31" s="12" t="s">
        <v>12</v>
      </c>
      <c r="E31" s="13">
        <v>801.21</v>
      </c>
      <c r="F31" s="14">
        <v>3</v>
      </c>
      <c r="G31" s="15">
        <v>0.2</v>
      </c>
      <c r="H31" s="16">
        <v>45426</v>
      </c>
      <c r="I31" s="13">
        <v>160.24</v>
      </c>
      <c r="J31" s="17">
        <f t="shared" si="0"/>
        <v>10293.870000000001</v>
      </c>
      <c r="K31" s="26">
        <f t="shared" ca="1" si="1"/>
        <v>46287.008232175926</v>
      </c>
      <c r="M31" s="29" t="str">
        <v>Sarah Anderson</v>
      </c>
      <c r="N31" s="29" t="str">
        <v>West</v>
      </c>
      <c r="O31" s="29" t="str">
        <v>Office Supplies</v>
      </c>
      <c r="P31" s="29">
        <v>545.44000000000005</v>
      </c>
      <c r="Q31" s="29">
        <v>17</v>
      </c>
      <c r="R31" s="29">
        <v>0</v>
      </c>
      <c r="S31" s="29">
        <v>45752</v>
      </c>
      <c r="T31" s="29">
        <v>245.45</v>
      </c>
      <c r="U31" s="29">
        <v>11611.060000000001</v>
      </c>
    </row>
    <row r="32" spans="1:21" x14ac:dyDescent="0.25">
      <c r="A32" s="11" t="s">
        <v>45</v>
      </c>
      <c r="B32" s="12" t="s">
        <v>46</v>
      </c>
      <c r="C32" s="12" t="s">
        <v>15</v>
      </c>
      <c r="D32" s="12" t="s">
        <v>12</v>
      </c>
      <c r="E32" s="13">
        <v>1450.71</v>
      </c>
      <c r="F32" s="14">
        <v>5</v>
      </c>
      <c r="G32" s="15">
        <v>0.1</v>
      </c>
      <c r="H32" s="16">
        <v>45427</v>
      </c>
      <c r="I32" s="13">
        <v>326.41000000000003</v>
      </c>
      <c r="J32" s="17">
        <f t="shared" si="0"/>
        <v>6716.52</v>
      </c>
      <c r="K32" s="26">
        <f t="shared" ca="1" si="1"/>
        <v>46287.008232175926</v>
      </c>
    </row>
    <row r="33" spans="1:11" x14ac:dyDescent="0.25">
      <c r="A33" s="11" t="s">
        <v>40</v>
      </c>
      <c r="B33" s="12" t="s">
        <v>47</v>
      </c>
      <c r="C33" s="12" t="s">
        <v>25</v>
      </c>
      <c r="D33" s="12" t="s">
        <v>3</v>
      </c>
      <c r="E33" s="13">
        <v>1023.21</v>
      </c>
      <c r="F33" s="14">
        <v>18</v>
      </c>
      <c r="G33" s="15">
        <v>0.05</v>
      </c>
      <c r="H33" s="16">
        <v>45428</v>
      </c>
      <c r="I33" s="13">
        <v>388.82</v>
      </c>
      <c r="J33" s="17">
        <f t="shared" si="0"/>
        <v>4418.2800000000007</v>
      </c>
      <c r="K33" s="26">
        <f t="shared" ca="1" si="1"/>
        <v>46287.008232175926</v>
      </c>
    </row>
    <row r="34" spans="1:11" x14ac:dyDescent="0.25">
      <c r="A34" s="11" t="s">
        <v>19</v>
      </c>
      <c r="B34" s="12" t="s">
        <v>38</v>
      </c>
      <c r="C34" s="12" t="s">
        <v>2</v>
      </c>
      <c r="D34" s="12" t="s">
        <v>18</v>
      </c>
      <c r="E34" s="13">
        <v>853.72</v>
      </c>
      <c r="F34" s="14">
        <v>5</v>
      </c>
      <c r="G34" s="15">
        <v>0.15</v>
      </c>
      <c r="H34" s="16">
        <v>45428</v>
      </c>
      <c r="I34" s="13">
        <v>253.98</v>
      </c>
      <c r="J34" s="17">
        <f t="shared" ref="J34:J65" si="4">SUMIF($A$2:$A$201,A34,$E$2:$E$201)</f>
        <v>6549.55</v>
      </c>
      <c r="K34" s="26">
        <f t="shared" ref="K34:K65" ca="1" si="5">NOW()</f>
        <v>46287.008232175926</v>
      </c>
    </row>
    <row r="35" spans="1:11" x14ac:dyDescent="0.25">
      <c r="A35" s="11" t="s">
        <v>48</v>
      </c>
      <c r="B35" s="12" t="s">
        <v>34</v>
      </c>
      <c r="C35" s="12" t="s">
        <v>11</v>
      </c>
      <c r="D35" s="12" t="s">
        <v>12</v>
      </c>
      <c r="E35" s="13">
        <v>967.89</v>
      </c>
      <c r="F35" s="14">
        <v>10</v>
      </c>
      <c r="G35" s="15">
        <v>0.1</v>
      </c>
      <c r="H35" s="16">
        <v>45429</v>
      </c>
      <c r="I35" s="13">
        <v>217.78</v>
      </c>
      <c r="J35" s="17">
        <f t="shared" si="4"/>
        <v>8740.18</v>
      </c>
      <c r="K35" s="26">
        <f t="shared" ca="1" si="5"/>
        <v>46287.008232175926</v>
      </c>
    </row>
    <row r="36" spans="1:11" x14ac:dyDescent="0.25">
      <c r="A36" s="11" t="s">
        <v>49</v>
      </c>
      <c r="B36" s="12" t="s">
        <v>44</v>
      </c>
      <c r="C36" s="12" t="s">
        <v>15</v>
      </c>
      <c r="D36" s="12" t="s">
        <v>30</v>
      </c>
      <c r="E36" s="13">
        <v>1200.9000000000001</v>
      </c>
      <c r="F36" s="14">
        <v>14</v>
      </c>
      <c r="G36" s="15">
        <v>0.05</v>
      </c>
      <c r="H36" s="16">
        <v>45429</v>
      </c>
      <c r="I36" s="13">
        <v>513.38</v>
      </c>
      <c r="J36" s="17">
        <f t="shared" si="4"/>
        <v>11611.060000000001</v>
      </c>
      <c r="K36" s="26">
        <f t="shared" ca="1" si="5"/>
        <v>46287.008232175926</v>
      </c>
    </row>
    <row r="37" spans="1:11" x14ac:dyDescent="0.25">
      <c r="A37" s="11" t="s">
        <v>4</v>
      </c>
      <c r="B37" s="12" t="s">
        <v>17</v>
      </c>
      <c r="C37" s="12" t="s">
        <v>2</v>
      </c>
      <c r="D37" s="12" t="s">
        <v>3</v>
      </c>
      <c r="E37" s="13">
        <v>472.38</v>
      </c>
      <c r="F37" s="14">
        <v>12</v>
      </c>
      <c r="G37" s="15">
        <v>0.2</v>
      </c>
      <c r="H37" s="16">
        <v>45429</v>
      </c>
      <c r="I37" s="13">
        <v>151.16</v>
      </c>
      <c r="J37" s="17">
        <f t="shared" si="4"/>
        <v>8339</v>
      </c>
      <c r="K37" s="26">
        <f t="shared" ca="1" si="5"/>
        <v>46287.008232175926</v>
      </c>
    </row>
    <row r="38" spans="1:11" x14ac:dyDescent="0.25">
      <c r="A38" s="11" t="s">
        <v>0</v>
      </c>
      <c r="B38" s="12" t="s">
        <v>46</v>
      </c>
      <c r="C38" s="12" t="s">
        <v>9</v>
      </c>
      <c r="D38" s="12" t="s">
        <v>30</v>
      </c>
      <c r="E38" s="13">
        <v>840.92</v>
      </c>
      <c r="F38" s="14">
        <v>9</v>
      </c>
      <c r="G38" s="15">
        <v>0.05</v>
      </c>
      <c r="H38" s="16">
        <v>45429</v>
      </c>
      <c r="I38" s="13">
        <v>359.49</v>
      </c>
      <c r="J38" s="17">
        <f t="shared" si="4"/>
        <v>4640.1099999999997</v>
      </c>
      <c r="K38" s="26">
        <f t="shared" ca="1" si="5"/>
        <v>46287.008232175926</v>
      </c>
    </row>
    <row r="39" spans="1:11" x14ac:dyDescent="0.25">
      <c r="A39" s="11" t="s">
        <v>43</v>
      </c>
      <c r="B39" s="12" t="s">
        <v>39</v>
      </c>
      <c r="C39" s="12" t="s">
        <v>25</v>
      </c>
      <c r="D39" s="12" t="s">
        <v>18</v>
      </c>
      <c r="E39" s="13">
        <v>1410.06</v>
      </c>
      <c r="F39" s="14">
        <v>11</v>
      </c>
      <c r="G39" s="15">
        <v>0.05</v>
      </c>
      <c r="H39" s="16">
        <v>45434</v>
      </c>
      <c r="I39" s="13">
        <v>468.84</v>
      </c>
      <c r="J39" s="17">
        <f t="shared" si="4"/>
        <v>10293.870000000001</v>
      </c>
      <c r="K39" s="26">
        <f t="shared" ca="1" si="5"/>
        <v>46287.008232175926</v>
      </c>
    </row>
    <row r="40" spans="1:11" x14ac:dyDescent="0.25">
      <c r="A40" s="11" t="s">
        <v>35</v>
      </c>
      <c r="B40" s="12" t="s">
        <v>50</v>
      </c>
      <c r="C40" s="12" t="s">
        <v>25</v>
      </c>
      <c r="D40" s="12" t="s">
        <v>18</v>
      </c>
      <c r="E40" s="13">
        <v>773.09</v>
      </c>
      <c r="F40" s="14">
        <v>13</v>
      </c>
      <c r="G40" s="15">
        <v>0.15</v>
      </c>
      <c r="H40" s="16">
        <v>45434</v>
      </c>
      <c r="I40" s="13">
        <v>229.99</v>
      </c>
      <c r="J40" s="17">
        <f t="shared" si="4"/>
        <v>9760.7999999999993</v>
      </c>
      <c r="K40" s="26">
        <f t="shared" ca="1" si="5"/>
        <v>46287.008232175926</v>
      </c>
    </row>
    <row r="41" spans="1:11" x14ac:dyDescent="0.25">
      <c r="A41" s="11" t="s">
        <v>51</v>
      </c>
      <c r="B41" s="12" t="s">
        <v>52</v>
      </c>
      <c r="C41" s="12" t="s">
        <v>9</v>
      </c>
      <c r="D41" s="12" t="s">
        <v>3</v>
      </c>
      <c r="E41" s="13">
        <v>580.42999999999995</v>
      </c>
      <c r="F41" s="14">
        <v>19</v>
      </c>
      <c r="G41" s="15">
        <v>0.15</v>
      </c>
      <c r="H41" s="16">
        <v>45435</v>
      </c>
      <c r="I41" s="13">
        <v>197.35</v>
      </c>
      <c r="J41" s="17">
        <f t="shared" si="4"/>
        <v>3369.17</v>
      </c>
      <c r="K41" s="26">
        <f t="shared" ca="1" si="5"/>
        <v>46287.008232175926</v>
      </c>
    </row>
    <row r="42" spans="1:11" x14ac:dyDescent="0.25">
      <c r="A42" s="11" t="s">
        <v>10</v>
      </c>
      <c r="B42" s="12" t="s">
        <v>33</v>
      </c>
      <c r="C42" s="12" t="s">
        <v>11</v>
      </c>
      <c r="D42" s="12" t="s">
        <v>3</v>
      </c>
      <c r="E42" s="13">
        <v>1151.21</v>
      </c>
      <c r="F42" s="14">
        <v>15</v>
      </c>
      <c r="G42" s="15">
        <v>0.1</v>
      </c>
      <c r="H42" s="16">
        <v>45445</v>
      </c>
      <c r="I42" s="13">
        <v>414.44</v>
      </c>
      <c r="J42" s="17">
        <f t="shared" si="4"/>
        <v>6666.130000000001</v>
      </c>
      <c r="K42" s="26">
        <f t="shared" ca="1" si="5"/>
        <v>46287.008232175926</v>
      </c>
    </row>
    <row r="43" spans="1:11" x14ac:dyDescent="0.25">
      <c r="A43" s="11" t="s">
        <v>43</v>
      </c>
      <c r="B43" s="12" t="s">
        <v>14</v>
      </c>
      <c r="C43" s="12" t="s">
        <v>25</v>
      </c>
      <c r="D43" s="12" t="s">
        <v>30</v>
      </c>
      <c r="E43" s="13">
        <v>1025.98</v>
      </c>
      <c r="F43" s="14">
        <v>5</v>
      </c>
      <c r="G43" s="15">
        <v>0.2</v>
      </c>
      <c r="H43" s="16">
        <v>45447</v>
      </c>
      <c r="I43" s="13">
        <v>369.35</v>
      </c>
      <c r="J43" s="17">
        <f t="shared" si="4"/>
        <v>10293.870000000001</v>
      </c>
      <c r="K43" s="26">
        <f t="shared" ca="1" si="5"/>
        <v>46287.008232175926</v>
      </c>
    </row>
    <row r="44" spans="1:11" x14ac:dyDescent="0.25">
      <c r="A44" s="11" t="s">
        <v>31</v>
      </c>
      <c r="B44" s="12" t="s">
        <v>47</v>
      </c>
      <c r="C44" s="12" t="s">
        <v>9</v>
      </c>
      <c r="D44" s="12" t="s">
        <v>30</v>
      </c>
      <c r="E44" s="13">
        <v>556.41999999999996</v>
      </c>
      <c r="F44" s="14">
        <v>11</v>
      </c>
      <c r="G44" s="15">
        <v>0.15</v>
      </c>
      <c r="H44" s="16">
        <v>45447</v>
      </c>
      <c r="I44" s="13">
        <v>212.83</v>
      </c>
      <c r="J44" s="17">
        <f t="shared" si="4"/>
        <v>5913.68</v>
      </c>
      <c r="K44" s="26">
        <f t="shared" ca="1" si="5"/>
        <v>46287.008232175926</v>
      </c>
    </row>
    <row r="45" spans="1:11" x14ac:dyDescent="0.25">
      <c r="A45" s="11" t="s">
        <v>48</v>
      </c>
      <c r="B45" s="12" t="s">
        <v>14</v>
      </c>
      <c r="C45" s="12" t="s">
        <v>25</v>
      </c>
      <c r="D45" s="12" t="s">
        <v>3</v>
      </c>
      <c r="E45" s="13">
        <v>840.85</v>
      </c>
      <c r="F45" s="14">
        <v>19</v>
      </c>
      <c r="G45" s="15">
        <v>0.1</v>
      </c>
      <c r="H45" s="16">
        <v>45448</v>
      </c>
      <c r="I45" s="13">
        <v>302.70999999999998</v>
      </c>
      <c r="J45" s="17">
        <f t="shared" si="4"/>
        <v>8740.18</v>
      </c>
      <c r="K45" s="26">
        <f t="shared" ca="1" si="5"/>
        <v>46287.008232175926</v>
      </c>
    </row>
    <row r="46" spans="1:11" x14ac:dyDescent="0.25">
      <c r="A46" s="11" t="s">
        <v>21</v>
      </c>
      <c r="B46" s="12" t="s">
        <v>52</v>
      </c>
      <c r="C46" s="12" t="s">
        <v>15</v>
      </c>
      <c r="D46" s="12" t="s">
        <v>18</v>
      </c>
      <c r="E46" s="13">
        <v>1227.25</v>
      </c>
      <c r="F46" s="14">
        <v>12</v>
      </c>
      <c r="G46" s="15">
        <v>0.15</v>
      </c>
      <c r="H46" s="16">
        <v>45448</v>
      </c>
      <c r="I46" s="13">
        <v>365.11</v>
      </c>
      <c r="J46" s="17">
        <f t="shared" si="4"/>
        <v>9371.81</v>
      </c>
      <c r="K46" s="26">
        <f t="shared" ca="1" si="5"/>
        <v>46287.008232175926</v>
      </c>
    </row>
    <row r="47" spans="1:11" x14ac:dyDescent="0.25">
      <c r="A47" s="11" t="s">
        <v>7</v>
      </c>
      <c r="B47" s="12" t="s">
        <v>53</v>
      </c>
      <c r="C47" s="12" t="s">
        <v>25</v>
      </c>
      <c r="D47" s="12" t="s">
        <v>12</v>
      </c>
      <c r="E47" s="13">
        <v>856.7</v>
      </c>
      <c r="F47" s="14">
        <v>2</v>
      </c>
      <c r="G47" s="15">
        <v>0</v>
      </c>
      <c r="H47" s="16">
        <v>45449</v>
      </c>
      <c r="I47" s="13">
        <v>214.18</v>
      </c>
      <c r="J47" s="17">
        <f t="shared" si="4"/>
        <v>3419.2</v>
      </c>
      <c r="K47" s="26">
        <f t="shared" ca="1" si="5"/>
        <v>46287.008232175926</v>
      </c>
    </row>
    <row r="48" spans="1:11" x14ac:dyDescent="0.25">
      <c r="A48" s="11" t="s">
        <v>45</v>
      </c>
      <c r="B48" s="12" t="s">
        <v>47</v>
      </c>
      <c r="C48" s="12" t="s">
        <v>25</v>
      </c>
      <c r="D48" s="12" t="s">
        <v>30</v>
      </c>
      <c r="E48" s="13">
        <v>1225.42</v>
      </c>
      <c r="F48" s="14">
        <v>8</v>
      </c>
      <c r="G48" s="15">
        <v>0.15</v>
      </c>
      <c r="H48" s="16">
        <v>45449</v>
      </c>
      <c r="I48" s="13">
        <v>468.72</v>
      </c>
      <c r="J48" s="17">
        <f t="shared" si="4"/>
        <v>6716.52</v>
      </c>
      <c r="K48" s="26">
        <f t="shared" ca="1" si="5"/>
        <v>46287.008232175926</v>
      </c>
    </row>
    <row r="49" spans="1:11" x14ac:dyDescent="0.25">
      <c r="A49" s="11" t="s">
        <v>54</v>
      </c>
      <c r="B49" s="12" t="s">
        <v>22</v>
      </c>
      <c r="C49" s="12" t="s">
        <v>15</v>
      </c>
      <c r="D49" s="12" t="s">
        <v>30</v>
      </c>
      <c r="E49" s="13">
        <v>1001.57</v>
      </c>
      <c r="F49" s="14">
        <v>12</v>
      </c>
      <c r="G49" s="15">
        <v>0</v>
      </c>
      <c r="H49" s="16">
        <v>45450</v>
      </c>
      <c r="I49" s="13">
        <v>450.71</v>
      </c>
      <c r="J49" s="17">
        <f t="shared" si="4"/>
        <v>3762.2900000000004</v>
      </c>
      <c r="K49" s="26">
        <f t="shared" ca="1" si="5"/>
        <v>46287.008232175926</v>
      </c>
    </row>
    <row r="50" spans="1:11" x14ac:dyDescent="0.25">
      <c r="A50" s="11" t="s">
        <v>48</v>
      </c>
      <c r="B50" s="12" t="s">
        <v>17</v>
      </c>
      <c r="C50" s="12" t="s">
        <v>9</v>
      </c>
      <c r="D50" s="12" t="s">
        <v>18</v>
      </c>
      <c r="E50" s="13">
        <v>1186.8499999999999</v>
      </c>
      <c r="F50" s="14">
        <v>19</v>
      </c>
      <c r="G50" s="15">
        <v>0.2</v>
      </c>
      <c r="H50" s="16">
        <v>45451</v>
      </c>
      <c r="I50" s="13">
        <v>332.32</v>
      </c>
      <c r="J50" s="17">
        <f t="shared" si="4"/>
        <v>8740.18</v>
      </c>
      <c r="K50" s="26">
        <f t="shared" ca="1" si="5"/>
        <v>46287.008232175926</v>
      </c>
    </row>
    <row r="51" spans="1:11" x14ac:dyDescent="0.25">
      <c r="A51" s="11" t="s">
        <v>35</v>
      </c>
      <c r="B51" s="12" t="s">
        <v>42</v>
      </c>
      <c r="C51" s="12" t="s">
        <v>11</v>
      </c>
      <c r="D51" s="12" t="s">
        <v>12</v>
      </c>
      <c r="E51" s="13">
        <v>775.45</v>
      </c>
      <c r="F51" s="14">
        <v>6</v>
      </c>
      <c r="G51" s="15">
        <v>0.1</v>
      </c>
      <c r="H51" s="16">
        <v>45457</v>
      </c>
      <c r="I51" s="13">
        <v>174.48</v>
      </c>
      <c r="J51" s="17">
        <f t="shared" si="4"/>
        <v>9760.7999999999993</v>
      </c>
      <c r="K51" s="26">
        <f t="shared" ca="1" si="5"/>
        <v>46287.008232175926</v>
      </c>
    </row>
    <row r="52" spans="1:11" x14ac:dyDescent="0.25">
      <c r="A52" s="11" t="s">
        <v>16</v>
      </c>
      <c r="B52" s="12" t="s">
        <v>24</v>
      </c>
      <c r="C52" s="12" t="s">
        <v>11</v>
      </c>
      <c r="D52" s="12" t="s">
        <v>12</v>
      </c>
      <c r="E52" s="13">
        <v>1021.47</v>
      </c>
      <c r="F52" s="14">
        <v>6</v>
      </c>
      <c r="G52" s="15">
        <v>0.05</v>
      </c>
      <c r="H52" s="16">
        <v>45461</v>
      </c>
      <c r="I52" s="13">
        <v>242.6</v>
      </c>
      <c r="J52" s="17">
        <f t="shared" si="4"/>
        <v>9941.8799999999992</v>
      </c>
      <c r="K52" s="26">
        <f t="shared" ca="1" si="5"/>
        <v>46287.008232175926</v>
      </c>
    </row>
    <row r="53" spans="1:11" x14ac:dyDescent="0.25">
      <c r="A53" s="11" t="s">
        <v>49</v>
      </c>
      <c r="B53" s="12" t="s">
        <v>14</v>
      </c>
      <c r="C53" s="12" t="s">
        <v>11</v>
      </c>
      <c r="D53" s="12" t="s">
        <v>6</v>
      </c>
      <c r="E53" s="13">
        <v>1226.6199999999999</v>
      </c>
      <c r="F53" s="14">
        <v>7</v>
      </c>
      <c r="G53" s="15">
        <v>0.1</v>
      </c>
      <c r="H53" s="16">
        <v>45463</v>
      </c>
      <c r="I53" s="13">
        <v>551.98</v>
      </c>
      <c r="J53" s="17">
        <f t="shared" si="4"/>
        <v>11611.060000000001</v>
      </c>
      <c r="K53" s="26">
        <f t="shared" ca="1" si="5"/>
        <v>46287.008232175926</v>
      </c>
    </row>
    <row r="54" spans="1:11" x14ac:dyDescent="0.25">
      <c r="A54" s="11" t="s">
        <v>13</v>
      </c>
      <c r="B54" s="12" t="s">
        <v>55</v>
      </c>
      <c r="C54" s="12" t="s">
        <v>11</v>
      </c>
      <c r="D54" s="12" t="s">
        <v>18</v>
      </c>
      <c r="E54" s="13">
        <v>1086.93</v>
      </c>
      <c r="F54" s="14">
        <v>2</v>
      </c>
      <c r="G54" s="15">
        <v>0</v>
      </c>
      <c r="H54" s="16">
        <v>45464</v>
      </c>
      <c r="I54" s="13">
        <v>380.43</v>
      </c>
      <c r="J54" s="17">
        <f t="shared" si="4"/>
        <v>7928.71</v>
      </c>
      <c r="K54" s="26">
        <f t="shared" ca="1" si="5"/>
        <v>46287.008232175926</v>
      </c>
    </row>
    <row r="55" spans="1:11" x14ac:dyDescent="0.25">
      <c r="A55" s="11" t="s">
        <v>56</v>
      </c>
      <c r="B55" s="12" t="s">
        <v>39</v>
      </c>
      <c r="C55" s="12" t="s">
        <v>2</v>
      </c>
      <c r="D55" s="12" t="s">
        <v>3</v>
      </c>
      <c r="E55" s="13">
        <v>942.9</v>
      </c>
      <c r="F55" s="14">
        <v>18</v>
      </c>
      <c r="G55" s="15">
        <v>0.1</v>
      </c>
      <c r="H55" s="16">
        <v>45466</v>
      </c>
      <c r="I55" s="13">
        <v>339.44</v>
      </c>
      <c r="J55" s="17">
        <f t="shared" si="4"/>
        <v>6481.43</v>
      </c>
      <c r="K55" s="26">
        <f t="shared" ca="1" si="5"/>
        <v>46287.008232175926</v>
      </c>
    </row>
    <row r="56" spans="1:11" x14ac:dyDescent="0.25">
      <c r="A56" s="11" t="s">
        <v>23</v>
      </c>
      <c r="B56" s="12" t="s">
        <v>29</v>
      </c>
      <c r="C56" s="12" t="s">
        <v>15</v>
      </c>
      <c r="D56" s="12" t="s">
        <v>12</v>
      </c>
      <c r="E56" s="13">
        <v>818.8</v>
      </c>
      <c r="F56" s="14">
        <v>15</v>
      </c>
      <c r="G56" s="15">
        <v>0.15</v>
      </c>
      <c r="H56" s="16">
        <v>45468</v>
      </c>
      <c r="I56" s="13">
        <v>173.99</v>
      </c>
      <c r="J56" s="17">
        <f t="shared" si="4"/>
        <v>6505.2</v>
      </c>
      <c r="K56" s="26">
        <f t="shared" ca="1" si="5"/>
        <v>46287.008232175926</v>
      </c>
    </row>
    <row r="57" spans="1:11" x14ac:dyDescent="0.25">
      <c r="A57" s="11" t="s">
        <v>10</v>
      </c>
      <c r="B57" s="12" t="s">
        <v>5</v>
      </c>
      <c r="C57" s="12" t="s">
        <v>11</v>
      </c>
      <c r="D57" s="12" t="s">
        <v>18</v>
      </c>
      <c r="E57" s="13">
        <v>919.04</v>
      </c>
      <c r="F57" s="14">
        <v>10</v>
      </c>
      <c r="G57" s="15">
        <v>0.2</v>
      </c>
      <c r="H57" s="16">
        <v>45468</v>
      </c>
      <c r="I57" s="13">
        <v>257.33</v>
      </c>
      <c r="J57" s="17">
        <f t="shared" si="4"/>
        <v>6666.130000000001</v>
      </c>
      <c r="K57" s="26">
        <f t="shared" ca="1" si="5"/>
        <v>46287.008232175926</v>
      </c>
    </row>
    <row r="58" spans="1:11" x14ac:dyDescent="0.25">
      <c r="A58" s="11" t="s">
        <v>13</v>
      </c>
      <c r="B58" s="12" t="s">
        <v>57</v>
      </c>
      <c r="C58" s="12" t="s">
        <v>25</v>
      </c>
      <c r="D58" s="12" t="s">
        <v>3</v>
      </c>
      <c r="E58" s="13">
        <v>973.26</v>
      </c>
      <c r="F58" s="14">
        <v>11</v>
      </c>
      <c r="G58" s="15">
        <v>0</v>
      </c>
      <c r="H58" s="16">
        <v>45470</v>
      </c>
      <c r="I58" s="13">
        <v>389.3</v>
      </c>
      <c r="J58" s="17">
        <f t="shared" si="4"/>
        <v>7928.71</v>
      </c>
      <c r="K58" s="26">
        <f t="shared" ca="1" si="5"/>
        <v>46287.008232175926</v>
      </c>
    </row>
    <row r="59" spans="1:11" x14ac:dyDescent="0.25">
      <c r="A59" s="11" t="s">
        <v>32</v>
      </c>
      <c r="B59" s="12" t="s">
        <v>55</v>
      </c>
      <c r="C59" s="12" t="s">
        <v>15</v>
      </c>
      <c r="D59" s="12" t="s">
        <v>12</v>
      </c>
      <c r="E59" s="13">
        <v>741.61</v>
      </c>
      <c r="F59" s="14">
        <v>1</v>
      </c>
      <c r="G59" s="15">
        <v>0.2</v>
      </c>
      <c r="H59" s="16">
        <v>45471</v>
      </c>
      <c r="I59" s="13">
        <v>148.32</v>
      </c>
      <c r="J59" s="17">
        <f t="shared" si="4"/>
        <v>5779.05</v>
      </c>
      <c r="K59" s="26">
        <f t="shared" ca="1" si="5"/>
        <v>46287.008232175926</v>
      </c>
    </row>
    <row r="60" spans="1:11" x14ac:dyDescent="0.25">
      <c r="A60" s="11" t="s">
        <v>58</v>
      </c>
      <c r="B60" s="12" t="s">
        <v>29</v>
      </c>
      <c r="C60" s="12" t="s">
        <v>15</v>
      </c>
      <c r="D60" s="12" t="s">
        <v>3</v>
      </c>
      <c r="E60" s="13">
        <v>1248.82</v>
      </c>
      <c r="F60" s="14">
        <v>2</v>
      </c>
      <c r="G60" s="15">
        <v>0.1</v>
      </c>
      <c r="H60" s="16">
        <v>45473</v>
      </c>
      <c r="I60" s="13">
        <v>449.58</v>
      </c>
      <c r="J60" s="17">
        <f t="shared" si="4"/>
        <v>8490.18</v>
      </c>
      <c r="K60" s="26">
        <f t="shared" ca="1" si="5"/>
        <v>46287.008232175926</v>
      </c>
    </row>
    <row r="61" spans="1:11" x14ac:dyDescent="0.25">
      <c r="A61" s="11" t="s">
        <v>4</v>
      </c>
      <c r="B61" s="12" t="s">
        <v>50</v>
      </c>
      <c r="C61" s="12" t="s">
        <v>2</v>
      </c>
      <c r="D61" s="12" t="s">
        <v>6</v>
      </c>
      <c r="E61" s="13">
        <v>1360.36</v>
      </c>
      <c r="F61" s="14">
        <v>17</v>
      </c>
      <c r="G61" s="15">
        <v>0</v>
      </c>
      <c r="H61" s="16">
        <v>45473</v>
      </c>
      <c r="I61" s="13">
        <v>680.18</v>
      </c>
      <c r="J61" s="17">
        <f t="shared" si="4"/>
        <v>8339</v>
      </c>
      <c r="K61" s="26">
        <f t="shared" ca="1" si="5"/>
        <v>46287.008232175926</v>
      </c>
    </row>
    <row r="62" spans="1:11" x14ac:dyDescent="0.25">
      <c r="A62" s="11" t="s">
        <v>48</v>
      </c>
      <c r="B62" s="12" t="s">
        <v>22</v>
      </c>
      <c r="C62" s="12" t="s">
        <v>9</v>
      </c>
      <c r="D62" s="12" t="s">
        <v>3</v>
      </c>
      <c r="E62" s="13">
        <v>1383.3</v>
      </c>
      <c r="F62" s="14">
        <v>8</v>
      </c>
      <c r="G62" s="15">
        <v>0.1</v>
      </c>
      <c r="H62" s="16">
        <v>45478</v>
      </c>
      <c r="I62" s="13">
        <v>497.99</v>
      </c>
      <c r="J62" s="17">
        <f t="shared" si="4"/>
        <v>8740.18</v>
      </c>
      <c r="K62" s="26">
        <f t="shared" ca="1" si="5"/>
        <v>46287.008232175926</v>
      </c>
    </row>
    <row r="63" spans="1:11" x14ac:dyDescent="0.25">
      <c r="A63" s="11" t="s">
        <v>26</v>
      </c>
      <c r="B63" s="12" t="s">
        <v>46</v>
      </c>
      <c r="C63" s="12" t="s">
        <v>25</v>
      </c>
      <c r="D63" s="12" t="s">
        <v>30</v>
      </c>
      <c r="E63" s="13">
        <v>488.99</v>
      </c>
      <c r="F63" s="14">
        <v>9</v>
      </c>
      <c r="G63" s="15">
        <v>0</v>
      </c>
      <c r="H63" s="16">
        <v>45479</v>
      </c>
      <c r="I63" s="13">
        <v>220.05</v>
      </c>
      <c r="J63" s="17">
        <f t="shared" si="4"/>
        <v>4259.22</v>
      </c>
      <c r="K63" s="26">
        <f t="shared" ca="1" si="5"/>
        <v>46287.008232175926</v>
      </c>
    </row>
    <row r="64" spans="1:11" x14ac:dyDescent="0.25">
      <c r="A64" s="11" t="s">
        <v>21</v>
      </c>
      <c r="B64" s="12" t="s">
        <v>22</v>
      </c>
      <c r="C64" s="12" t="s">
        <v>9</v>
      </c>
      <c r="D64" s="12" t="s">
        <v>18</v>
      </c>
      <c r="E64" s="13">
        <v>933.71</v>
      </c>
      <c r="F64" s="14">
        <v>17</v>
      </c>
      <c r="G64" s="15">
        <v>0.1</v>
      </c>
      <c r="H64" s="16">
        <v>45481</v>
      </c>
      <c r="I64" s="13">
        <v>294.12</v>
      </c>
      <c r="J64" s="17">
        <f t="shared" si="4"/>
        <v>9371.81</v>
      </c>
      <c r="K64" s="26">
        <f t="shared" ca="1" si="5"/>
        <v>46287.008232175926</v>
      </c>
    </row>
    <row r="65" spans="1:11" x14ac:dyDescent="0.25">
      <c r="A65" s="11" t="s">
        <v>58</v>
      </c>
      <c r="B65" s="12" t="s">
        <v>1</v>
      </c>
      <c r="C65" s="12" t="s">
        <v>2</v>
      </c>
      <c r="D65" s="12" t="s">
        <v>12</v>
      </c>
      <c r="E65" s="13">
        <v>1005.53</v>
      </c>
      <c r="F65" s="14">
        <v>17</v>
      </c>
      <c r="G65" s="15">
        <v>0.2</v>
      </c>
      <c r="H65" s="16">
        <v>45481</v>
      </c>
      <c r="I65" s="13">
        <v>201.11</v>
      </c>
      <c r="J65" s="17">
        <f t="shared" si="4"/>
        <v>8490.18</v>
      </c>
      <c r="K65" s="26">
        <f t="shared" ca="1" si="5"/>
        <v>46287.008232175926</v>
      </c>
    </row>
    <row r="66" spans="1:11" x14ac:dyDescent="0.25">
      <c r="A66" s="11" t="s">
        <v>32</v>
      </c>
      <c r="B66" s="12" t="s">
        <v>52</v>
      </c>
      <c r="C66" s="12" t="s">
        <v>11</v>
      </c>
      <c r="D66" s="12" t="s">
        <v>12</v>
      </c>
      <c r="E66" s="13">
        <v>1100.0999999999999</v>
      </c>
      <c r="F66" s="14">
        <v>5</v>
      </c>
      <c r="G66" s="15">
        <v>0.05</v>
      </c>
      <c r="H66" s="16">
        <v>45482</v>
      </c>
      <c r="I66" s="13">
        <v>261.27</v>
      </c>
      <c r="J66" s="17">
        <f t="shared" ref="J66:J97" si="6">SUMIF($A$2:$A$201,A66,$E$2:$E$201)</f>
        <v>5779.05</v>
      </c>
      <c r="K66" s="26">
        <f t="shared" ref="K66:K97" ca="1" si="7">NOW()</f>
        <v>46287.008232175926</v>
      </c>
    </row>
    <row r="67" spans="1:11" x14ac:dyDescent="0.25">
      <c r="A67" s="11" t="s">
        <v>58</v>
      </c>
      <c r="B67" s="12" t="s">
        <v>14</v>
      </c>
      <c r="C67" s="12" t="s">
        <v>15</v>
      </c>
      <c r="D67" s="12" t="s">
        <v>18</v>
      </c>
      <c r="E67" s="13">
        <v>1034.7</v>
      </c>
      <c r="F67" s="14">
        <v>15</v>
      </c>
      <c r="G67" s="15">
        <v>0.15</v>
      </c>
      <c r="H67" s="16">
        <v>45487</v>
      </c>
      <c r="I67" s="13">
        <v>307.82</v>
      </c>
      <c r="J67" s="17">
        <f t="shared" si="6"/>
        <v>8490.18</v>
      </c>
      <c r="K67" s="26">
        <f t="shared" ca="1" si="7"/>
        <v>46287.008232175926</v>
      </c>
    </row>
    <row r="68" spans="1:11" x14ac:dyDescent="0.25">
      <c r="A68" s="11" t="s">
        <v>56</v>
      </c>
      <c r="B68" s="12" t="s">
        <v>22</v>
      </c>
      <c r="C68" s="12" t="s">
        <v>11</v>
      </c>
      <c r="D68" s="12" t="s">
        <v>3</v>
      </c>
      <c r="E68" s="13">
        <v>876.44</v>
      </c>
      <c r="F68" s="14">
        <v>12</v>
      </c>
      <c r="G68" s="15">
        <v>0.05</v>
      </c>
      <c r="H68" s="16">
        <v>45488</v>
      </c>
      <c r="I68" s="13">
        <v>333.05</v>
      </c>
      <c r="J68" s="17">
        <f t="shared" si="6"/>
        <v>6481.43</v>
      </c>
      <c r="K68" s="26">
        <f t="shared" ca="1" si="7"/>
        <v>46287.008232175926</v>
      </c>
    </row>
    <row r="69" spans="1:11" x14ac:dyDescent="0.25">
      <c r="A69" s="11" t="s">
        <v>59</v>
      </c>
      <c r="B69" s="12" t="s">
        <v>46</v>
      </c>
      <c r="C69" s="12" t="s">
        <v>2</v>
      </c>
      <c r="D69" s="12" t="s">
        <v>18</v>
      </c>
      <c r="E69" s="13">
        <v>1371.34</v>
      </c>
      <c r="F69" s="14">
        <v>5</v>
      </c>
      <c r="G69" s="15">
        <v>0.05</v>
      </c>
      <c r="H69" s="16">
        <v>45488</v>
      </c>
      <c r="I69" s="13">
        <v>455.97</v>
      </c>
      <c r="J69" s="17">
        <f t="shared" si="6"/>
        <v>4413.71</v>
      </c>
      <c r="K69" s="26">
        <f t="shared" ca="1" si="7"/>
        <v>46287.008232175926</v>
      </c>
    </row>
    <row r="70" spans="1:11" x14ac:dyDescent="0.25">
      <c r="A70" s="11" t="s">
        <v>48</v>
      </c>
      <c r="B70" s="12" t="s">
        <v>38</v>
      </c>
      <c r="C70" s="12" t="s">
        <v>15</v>
      </c>
      <c r="D70" s="12" t="s">
        <v>12</v>
      </c>
      <c r="E70" s="13">
        <v>1020.26</v>
      </c>
      <c r="F70" s="14">
        <v>11</v>
      </c>
      <c r="G70" s="15">
        <v>0.05</v>
      </c>
      <c r="H70" s="16">
        <v>45494</v>
      </c>
      <c r="I70" s="13">
        <v>242.31</v>
      </c>
      <c r="J70" s="17">
        <f t="shared" si="6"/>
        <v>8740.18</v>
      </c>
      <c r="K70" s="26">
        <f t="shared" ca="1" si="7"/>
        <v>46287.008232175926</v>
      </c>
    </row>
    <row r="71" spans="1:11" x14ac:dyDescent="0.25">
      <c r="A71" s="11" t="s">
        <v>35</v>
      </c>
      <c r="B71" s="12" t="s">
        <v>1</v>
      </c>
      <c r="C71" s="12" t="s">
        <v>25</v>
      </c>
      <c r="D71" s="12" t="s">
        <v>30</v>
      </c>
      <c r="E71" s="13">
        <v>804.81</v>
      </c>
      <c r="F71" s="14">
        <v>1</v>
      </c>
      <c r="G71" s="15">
        <v>0.05</v>
      </c>
      <c r="H71" s="16">
        <v>45502</v>
      </c>
      <c r="I71" s="13">
        <v>344.06</v>
      </c>
      <c r="J71" s="17">
        <f t="shared" si="6"/>
        <v>9760.7999999999993</v>
      </c>
      <c r="K71" s="26">
        <f t="shared" ca="1" si="7"/>
        <v>46287.008232175926</v>
      </c>
    </row>
    <row r="72" spans="1:11" x14ac:dyDescent="0.25">
      <c r="A72" s="11" t="s">
        <v>13</v>
      </c>
      <c r="B72" s="12" t="s">
        <v>46</v>
      </c>
      <c r="C72" s="12" t="s">
        <v>25</v>
      </c>
      <c r="D72" s="12" t="s">
        <v>12</v>
      </c>
      <c r="E72" s="13">
        <v>608.66</v>
      </c>
      <c r="F72" s="14">
        <v>1</v>
      </c>
      <c r="G72" s="15">
        <v>0.05</v>
      </c>
      <c r="H72" s="16">
        <v>45503</v>
      </c>
      <c r="I72" s="13">
        <v>144.56</v>
      </c>
      <c r="J72" s="17">
        <f t="shared" si="6"/>
        <v>7928.71</v>
      </c>
      <c r="K72" s="26">
        <f t="shared" ca="1" si="7"/>
        <v>46287.008232175926</v>
      </c>
    </row>
    <row r="73" spans="1:11" x14ac:dyDescent="0.25">
      <c r="A73" s="11" t="s">
        <v>59</v>
      </c>
      <c r="B73" s="12" t="s">
        <v>60</v>
      </c>
      <c r="C73" s="12" t="s">
        <v>11</v>
      </c>
      <c r="D73" s="12" t="s">
        <v>30</v>
      </c>
      <c r="E73" s="13">
        <v>981.2</v>
      </c>
      <c r="F73" s="14">
        <v>19</v>
      </c>
      <c r="G73" s="15">
        <v>0</v>
      </c>
      <c r="H73" s="16">
        <v>45504</v>
      </c>
      <c r="I73" s="13">
        <v>441.54</v>
      </c>
      <c r="J73" s="17">
        <f t="shared" si="6"/>
        <v>4413.71</v>
      </c>
      <c r="K73" s="26">
        <f t="shared" ca="1" si="7"/>
        <v>46287.008232175926</v>
      </c>
    </row>
    <row r="74" spans="1:11" x14ac:dyDescent="0.25">
      <c r="A74" s="11" t="s">
        <v>61</v>
      </c>
      <c r="B74" s="12" t="s">
        <v>46</v>
      </c>
      <c r="C74" s="12" t="s">
        <v>9</v>
      </c>
      <c r="D74" s="12" t="s">
        <v>12</v>
      </c>
      <c r="E74" s="13">
        <v>539.77</v>
      </c>
      <c r="F74" s="14">
        <v>10</v>
      </c>
      <c r="G74" s="15">
        <v>0.15</v>
      </c>
      <c r="H74" s="16">
        <v>45509</v>
      </c>
      <c r="I74" s="13">
        <v>114.7</v>
      </c>
      <c r="J74" s="17">
        <f t="shared" si="6"/>
        <v>7583.1299999999992</v>
      </c>
      <c r="K74" s="26">
        <f t="shared" ca="1" si="7"/>
        <v>46287.008232175926</v>
      </c>
    </row>
    <row r="75" spans="1:11" x14ac:dyDescent="0.25">
      <c r="A75" s="11" t="s">
        <v>4</v>
      </c>
      <c r="B75" s="12" t="s">
        <v>62</v>
      </c>
      <c r="C75" s="12" t="s">
        <v>11</v>
      </c>
      <c r="D75" s="12" t="s">
        <v>3</v>
      </c>
      <c r="E75" s="13">
        <v>804.45</v>
      </c>
      <c r="F75" s="14">
        <v>5</v>
      </c>
      <c r="G75" s="15">
        <v>0.2</v>
      </c>
      <c r="H75" s="16">
        <v>45509</v>
      </c>
      <c r="I75" s="13">
        <v>257.42</v>
      </c>
      <c r="J75" s="17">
        <f t="shared" si="6"/>
        <v>8339</v>
      </c>
      <c r="K75" s="26">
        <f t="shared" ca="1" si="7"/>
        <v>46287.008232175926</v>
      </c>
    </row>
    <row r="76" spans="1:11" x14ac:dyDescent="0.25">
      <c r="A76" s="11" t="s">
        <v>61</v>
      </c>
      <c r="B76" s="12" t="s">
        <v>29</v>
      </c>
      <c r="C76" s="12" t="s">
        <v>2</v>
      </c>
      <c r="D76" s="12" t="s">
        <v>12</v>
      </c>
      <c r="E76" s="13">
        <v>1526.6</v>
      </c>
      <c r="F76" s="14">
        <v>13</v>
      </c>
      <c r="G76" s="15">
        <v>0.2</v>
      </c>
      <c r="H76" s="16">
        <v>45512</v>
      </c>
      <c r="I76" s="13">
        <v>305.32</v>
      </c>
      <c r="J76" s="17">
        <f t="shared" si="6"/>
        <v>7583.1299999999992</v>
      </c>
      <c r="K76" s="26">
        <f t="shared" ca="1" si="7"/>
        <v>46287.008232175926</v>
      </c>
    </row>
    <row r="77" spans="1:11" x14ac:dyDescent="0.25">
      <c r="A77" s="11" t="s">
        <v>4</v>
      </c>
      <c r="B77" s="12" t="s">
        <v>20</v>
      </c>
      <c r="C77" s="12" t="s">
        <v>2</v>
      </c>
      <c r="D77" s="12" t="s">
        <v>12</v>
      </c>
      <c r="E77" s="13">
        <v>1215.26</v>
      </c>
      <c r="F77" s="14">
        <v>5</v>
      </c>
      <c r="G77" s="15">
        <v>0.15</v>
      </c>
      <c r="H77" s="16">
        <v>45513</v>
      </c>
      <c r="I77" s="13">
        <v>258.24</v>
      </c>
      <c r="J77" s="17">
        <f t="shared" si="6"/>
        <v>8339</v>
      </c>
      <c r="K77" s="26">
        <f t="shared" ca="1" si="7"/>
        <v>46287.008232175926</v>
      </c>
    </row>
    <row r="78" spans="1:11" x14ac:dyDescent="0.25">
      <c r="A78" s="11" t="s">
        <v>10</v>
      </c>
      <c r="B78" s="12" t="s">
        <v>44</v>
      </c>
      <c r="C78" s="12" t="s">
        <v>25</v>
      </c>
      <c r="D78" s="12" t="s">
        <v>18</v>
      </c>
      <c r="E78" s="13">
        <v>1261.3399999999999</v>
      </c>
      <c r="F78" s="14">
        <v>3</v>
      </c>
      <c r="G78" s="15">
        <v>0</v>
      </c>
      <c r="H78" s="16">
        <v>45519</v>
      </c>
      <c r="I78" s="13">
        <v>441.47</v>
      </c>
      <c r="J78" s="17">
        <f t="shared" si="6"/>
        <v>6666.130000000001</v>
      </c>
      <c r="K78" s="26">
        <f t="shared" ca="1" si="7"/>
        <v>46287.008232175926</v>
      </c>
    </row>
    <row r="79" spans="1:11" x14ac:dyDescent="0.25">
      <c r="A79" s="11" t="s">
        <v>63</v>
      </c>
      <c r="B79" s="12" t="s">
        <v>36</v>
      </c>
      <c r="C79" s="12" t="s">
        <v>15</v>
      </c>
      <c r="D79" s="12" t="s">
        <v>18</v>
      </c>
      <c r="E79" s="13">
        <v>518.07000000000005</v>
      </c>
      <c r="F79" s="14">
        <v>7</v>
      </c>
      <c r="G79" s="15">
        <v>0.05</v>
      </c>
      <c r="H79" s="16">
        <v>45522</v>
      </c>
      <c r="I79" s="13">
        <v>172.26</v>
      </c>
      <c r="J79" s="17">
        <f t="shared" si="6"/>
        <v>7813.59</v>
      </c>
      <c r="K79" s="26">
        <f t="shared" ca="1" si="7"/>
        <v>46287.008232175926</v>
      </c>
    </row>
    <row r="80" spans="1:11" x14ac:dyDescent="0.25">
      <c r="A80" s="11" t="s">
        <v>21</v>
      </c>
      <c r="B80" s="12" t="s">
        <v>20</v>
      </c>
      <c r="C80" s="12" t="s">
        <v>2</v>
      </c>
      <c r="D80" s="12" t="s">
        <v>30</v>
      </c>
      <c r="E80" s="13">
        <v>1111.3399999999999</v>
      </c>
      <c r="F80" s="14">
        <v>1</v>
      </c>
      <c r="G80" s="15">
        <v>0</v>
      </c>
      <c r="H80" s="16">
        <v>45523</v>
      </c>
      <c r="I80" s="13">
        <v>500.1</v>
      </c>
      <c r="J80" s="17">
        <f t="shared" si="6"/>
        <v>9371.81</v>
      </c>
      <c r="K80" s="26">
        <f t="shared" ca="1" si="7"/>
        <v>46287.008232175926</v>
      </c>
    </row>
    <row r="81" spans="1:11" x14ac:dyDescent="0.25">
      <c r="A81" s="11" t="s">
        <v>13</v>
      </c>
      <c r="B81" s="12" t="s">
        <v>22</v>
      </c>
      <c r="C81" s="12" t="s">
        <v>9</v>
      </c>
      <c r="D81" s="12" t="s">
        <v>6</v>
      </c>
      <c r="E81" s="13">
        <v>1291.47</v>
      </c>
      <c r="F81" s="14">
        <v>18</v>
      </c>
      <c r="G81" s="15">
        <v>0.1</v>
      </c>
      <c r="H81" s="16">
        <v>45526</v>
      </c>
      <c r="I81" s="13">
        <v>581.16</v>
      </c>
      <c r="J81" s="17">
        <f t="shared" si="6"/>
        <v>7928.71</v>
      </c>
      <c r="K81" s="26">
        <f t="shared" ca="1" si="7"/>
        <v>46287.008232175926</v>
      </c>
    </row>
    <row r="82" spans="1:11" x14ac:dyDescent="0.25">
      <c r="A82" s="11" t="s">
        <v>16</v>
      </c>
      <c r="B82" s="12" t="s">
        <v>46</v>
      </c>
      <c r="C82" s="12" t="s">
        <v>15</v>
      </c>
      <c r="D82" s="12" t="s">
        <v>3</v>
      </c>
      <c r="E82" s="13">
        <v>679.71</v>
      </c>
      <c r="F82" s="14">
        <v>19</v>
      </c>
      <c r="G82" s="15">
        <v>0</v>
      </c>
      <c r="H82" s="16">
        <v>45534</v>
      </c>
      <c r="I82" s="13">
        <v>271.88</v>
      </c>
      <c r="J82" s="17">
        <f t="shared" si="6"/>
        <v>9941.8799999999992</v>
      </c>
      <c r="K82" s="26">
        <f t="shared" ca="1" si="7"/>
        <v>46287.008232175926</v>
      </c>
    </row>
    <row r="83" spans="1:11" x14ac:dyDescent="0.25">
      <c r="A83" s="11" t="s">
        <v>59</v>
      </c>
      <c r="B83" s="12" t="s">
        <v>24</v>
      </c>
      <c r="C83" s="12" t="s">
        <v>9</v>
      </c>
      <c r="D83" s="12" t="s">
        <v>18</v>
      </c>
      <c r="E83" s="13">
        <v>1143.69</v>
      </c>
      <c r="F83" s="14">
        <v>17</v>
      </c>
      <c r="G83" s="15">
        <v>0</v>
      </c>
      <c r="H83" s="16">
        <v>45534</v>
      </c>
      <c r="I83" s="13">
        <v>400.29</v>
      </c>
      <c r="J83" s="17">
        <f t="shared" si="6"/>
        <v>4413.71</v>
      </c>
      <c r="K83" s="26">
        <f t="shared" ca="1" si="7"/>
        <v>46287.008232175926</v>
      </c>
    </row>
    <row r="84" spans="1:11" x14ac:dyDescent="0.25">
      <c r="A84" s="11" t="s">
        <v>43</v>
      </c>
      <c r="B84" s="12" t="s">
        <v>41</v>
      </c>
      <c r="C84" s="12" t="s">
        <v>25</v>
      </c>
      <c r="D84" s="12" t="s">
        <v>12</v>
      </c>
      <c r="E84" s="13">
        <v>790.08</v>
      </c>
      <c r="F84" s="14">
        <v>7</v>
      </c>
      <c r="G84" s="15">
        <v>0.1</v>
      </c>
      <c r="H84" s="16">
        <v>45536</v>
      </c>
      <c r="I84" s="13">
        <v>177.77</v>
      </c>
      <c r="J84" s="17">
        <f t="shared" si="6"/>
        <v>10293.870000000001</v>
      </c>
      <c r="K84" s="26">
        <f t="shared" ca="1" si="7"/>
        <v>46287.008232175926</v>
      </c>
    </row>
    <row r="85" spans="1:11" x14ac:dyDescent="0.25">
      <c r="A85" s="11" t="s">
        <v>10</v>
      </c>
      <c r="B85" s="12" t="s">
        <v>39</v>
      </c>
      <c r="C85" s="12" t="s">
        <v>25</v>
      </c>
      <c r="D85" s="12" t="s">
        <v>3</v>
      </c>
      <c r="E85" s="13">
        <v>1070.68</v>
      </c>
      <c r="F85" s="14">
        <v>7</v>
      </c>
      <c r="G85" s="15">
        <v>0.05</v>
      </c>
      <c r="H85" s="16">
        <v>45536</v>
      </c>
      <c r="I85" s="13">
        <v>406.86</v>
      </c>
      <c r="J85" s="17">
        <f t="shared" si="6"/>
        <v>6666.130000000001</v>
      </c>
      <c r="K85" s="26">
        <f t="shared" ca="1" si="7"/>
        <v>46287.008232175926</v>
      </c>
    </row>
    <row r="86" spans="1:11" x14ac:dyDescent="0.25">
      <c r="A86" s="11" t="s">
        <v>49</v>
      </c>
      <c r="B86" s="12" t="s">
        <v>27</v>
      </c>
      <c r="C86" s="12" t="s">
        <v>2</v>
      </c>
      <c r="D86" s="12" t="s">
        <v>6</v>
      </c>
      <c r="E86" s="13">
        <v>1168.8900000000001</v>
      </c>
      <c r="F86" s="14">
        <v>4</v>
      </c>
      <c r="G86" s="15">
        <v>0.1</v>
      </c>
      <c r="H86" s="16">
        <v>45544</v>
      </c>
      <c r="I86" s="13">
        <v>526</v>
      </c>
      <c r="J86" s="17">
        <f t="shared" si="6"/>
        <v>11611.060000000001</v>
      </c>
      <c r="K86" s="26">
        <f t="shared" ca="1" si="7"/>
        <v>46287.008232175926</v>
      </c>
    </row>
    <row r="87" spans="1:11" x14ac:dyDescent="0.25">
      <c r="A87" s="11" t="s">
        <v>58</v>
      </c>
      <c r="B87" s="12" t="s">
        <v>1</v>
      </c>
      <c r="C87" s="12" t="s">
        <v>11</v>
      </c>
      <c r="D87" s="12" t="s">
        <v>12</v>
      </c>
      <c r="E87" s="13">
        <v>1335.87</v>
      </c>
      <c r="F87" s="14">
        <v>17</v>
      </c>
      <c r="G87" s="15">
        <v>0</v>
      </c>
      <c r="H87" s="16">
        <v>45544</v>
      </c>
      <c r="I87" s="13">
        <v>333.97</v>
      </c>
      <c r="J87" s="17">
        <f t="shared" si="6"/>
        <v>8490.18</v>
      </c>
      <c r="K87" s="26">
        <f t="shared" ca="1" si="7"/>
        <v>46287.008232175926</v>
      </c>
    </row>
    <row r="88" spans="1:11" x14ac:dyDescent="0.25">
      <c r="A88" s="11" t="s">
        <v>31</v>
      </c>
      <c r="B88" s="12" t="s">
        <v>46</v>
      </c>
      <c r="C88" s="12" t="s">
        <v>9</v>
      </c>
      <c r="D88" s="12" t="s">
        <v>18</v>
      </c>
      <c r="E88" s="13">
        <v>873.7</v>
      </c>
      <c r="F88" s="14">
        <v>9</v>
      </c>
      <c r="G88" s="15">
        <v>0</v>
      </c>
      <c r="H88" s="16">
        <v>45546</v>
      </c>
      <c r="I88" s="13">
        <v>305.8</v>
      </c>
      <c r="J88" s="17">
        <f t="shared" si="6"/>
        <v>5913.68</v>
      </c>
      <c r="K88" s="26">
        <f t="shared" ca="1" si="7"/>
        <v>46287.008232175926</v>
      </c>
    </row>
    <row r="89" spans="1:11" x14ac:dyDescent="0.25">
      <c r="A89" s="11" t="s">
        <v>63</v>
      </c>
      <c r="B89" s="12" t="s">
        <v>55</v>
      </c>
      <c r="C89" s="12" t="s">
        <v>2</v>
      </c>
      <c r="D89" s="12" t="s">
        <v>30</v>
      </c>
      <c r="E89" s="13">
        <v>1443.98</v>
      </c>
      <c r="F89" s="14">
        <v>19</v>
      </c>
      <c r="G89" s="15">
        <v>0</v>
      </c>
      <c r="H89" s="16">
        <v>45547</v>
      </c>
      <c r="I89" s="13">
        <v>649.79</v>
      </c>
      <c r="J89" s="17">
        <f t="shared" si="6"/>
        <v>7813.59</v>
      </c>
      <c r="K89" s="26">
        <f t="shared" ca="1" si="7"/>
        <v>46287.008232175926</v>
      </c>
    </row>
    <row r="90" spans="1:11" x14ac:dyDescent="0.25">
      <c r="A90" s="11" t="s">
        <v>31</v>
      </c>
      <c r="B90" s="12" t="s">
        <v>14</v>
      </c>
      <c r="C90" s="12" t="s">
        <v>9</v>
      </c>
      <c r="D90" s="12" t="s">
        <v>30</v>
      </c>
      <c r="E90" s="13">
        <v>1154.33</v>
      </c>
      <c r="F90" s="14">
        <v>11</v>
      </c>
      <c r="G90" s="15">
        <v>0.15</v>
      </c>
      <c r="H90" s="16">
        <v>45549</v>
      </c>
      <c r="I90" s="13">
        <v>441.53</v>
      </c>
      <c r="J90" s="17">
        <f t="shared" si="6"/>
        <v>5913.68</v>
      </c>
      <c r="K90" s="26">
        <f t="shared" ca="1" si="7"/>
        <v>46287.008232175926</v>
      </c>
    </row>
    <row r="91" spans="1:11" x14ac:dyDescent="0.25">
      <c r="A91" s="11" t="s">
        <v>40</v>
      </c>
      <c r="B91" s="12" t="s">
        <v>41</v>
      </c>
      <c r="C91" s="12" t="s">
        <v>11</v>
      </c>
      <c r="D91" s="12" t="s">
        <v>3</v>
      </c>
      <c r="E91" s="13">
        <v>1264.49</v>
      </c>
      <c r="F91" s="14">
        <v>16</v>
      </c>
      <c r="G91" s="15">
        <v>0.05</v>
      </c>
      <c r="H91" s="16">
        <v>45549</v>
      </c>
      <c r="I91" s="13">
        <v>480.51</v>
      </c>
      <c r="J91" s="17">
        <f t="shared" si="6"/>
        <v>4418.2800000000007</v>
      </c>
      <c r="K91" s="26">
        <f t="shared" ca="1" si="7"/>
        <v>46287.008232175926</v>
      </c>
    </row>
    <row r="92" spans="1:11" x14ac:dyDescent="0.25">
      <c r="A92" s="11" t="s">
        <v>16</v>
      </c>
      <c r="B92" s="12" t="s">
        <v>57</v>
      </c>
      <c r="C92" s="12" t="s">
        <v>2</v>
      </c>
      <c r="D92" s="12" t="s">
        <v>18</v>
      </c>
      <c r="E92" s="13">
        <v>1101.55</v>
      </c>
      <c r="F92" s="14">
        <v>4</v>
      </c>
      <c r="G92" s="15">
        <v>0.1</v>
      </c>
      <c r="H92" s="16">
        <v>45551</v>
      </c>
      <c r="I92" s="13">
        <v>346.99</v>
      </c>
      <c r="J92" s="17">
        <f t="shared" si="6"/>
        <v>9941.8799999999992</v>
      </c>
      <c r="K92" s="26">
        <f t="shared" ca="1" si="7"/>
        <v>46287.008232175926</v>
      </c>
    </row>
    <row r="93" spans="1:11" x14ac:dyDescent="0.25">
      <c r="A93" s="11" t="s">
        <v>64</v>
      </c>
      <c r="B93" s="12" t="s">
        <v>5</v>
      </c>
      <c r="C93" s="12" t="s">
        <v>11</v>
      </c>
      <c r="D93" s="12" t="s">
        <v>18</v>
      </c>
      <c r="E93" s="13">
        <v>727.73</v>
      </c>
      <c r="F93" s="14">
        <v>1</v>
      </c>
      <c r="G93" s="15">
        <v>0.1</v>
      </c>
      <c r="H93" s="16">
        <v>45552</v>
      </c>
      <c r="I93" s="13">
        <v>229.23</v>
      </c>
      <c r="J93" s="17">
        <f t="shared" si="6"/>
        <v>4162.4400000000005</v>
      </c>
      <c r="K93" s="26">
        <f t="shared" ca="1" si="7"/>
        <v>46287.008232175926</v>
      </c>
    </row>
    <row r="94" spans="1:11" x14ac:dyDescent="0.25">
      <c r="A94" s="11" t="s">
        <v>65</v>
      </c>
      <c r="B94" s="12" t="s">
        <v>29</v>
      </c>
      <c r="C94" s="12" t="s">
        <v>9</v>
      </c>
      <c r="D94" s="12" t="s">
        <v>30</v>
      </c>
      <c r="E94" s="13">
        <v>875.41</v>
      </c>
      <c r="F94" s="14">
        <v>13</v>
      </c>
      <c r="G94" s="15">
        <v>0.15</v>
      </c>
      <c r="H94" s="16">
        <v>45552</v>
      </c>
      <c r="I94" s="13">
        <v>334.84</v>
      </c>
      <c r="J94" s="17">
        <f t="shared" si="6"/>
        <v>3906.04</v>
      </c>
      <c r="K94" s="26">
        <f t="shared" ca="1" si="7"/>
        <v>46287.008232175926</v>
      </c>
    </row>
    <row r="95" spans="1:11" x14ac:dyDescent="0.25">
      <c r="A95" s="11" t="s">
        <v>58</v>
      </c>
      <c r="B95" s="12" t="s">
        <v>14</v>
      </c>
      <c r="C95" s="12" t="s">
        <v>2</v>
      </c>
      <c r="D95" s="12" t="s">
        <v>12</v>
      </c>
      <c r="E95" s="13">
        <v>1158.94</v>
      </c>
      <c r="F95" s="14">
        <v>19</v>
      </c>
      <c r="G95" s="15">
        <v>0.2</v>
      </c>
      <c r="H95" s="16">
        <v>45553</v>
      </c>
      <c r="I95" s="13">
        <v>231.79</v>
      </c>
      <c r="J95" s="17">
        <f t="shared" si="6"/>
        <v>8490.18</v>
      </c>
      <c r="K95" s="26">
        <f t="shared" ca="1" si="7"/>
        <v>46287.008232175926</v>
      </c>
    </row>
    <row r="96" spans="1:11" x14ac:dyDescent="0.25">
      <c r="A96" s="11" t="s">
        <v>66</v>
      </c>
      <c r="B96" s="12" t="s">
        <v>38</v>
      </c>
      <c r="C96" s="12" t="s">
        <v>11</v>
      </c>
      <c r="D96" s="12" t="s">
        <v>3</v>
      </c>
      <c r="E96" s="13">
        <v>966.3</v>
      </c>
      <c r="F96" s="14">
        <v>2</v>
      </c>
      <c r="G96" s="15">
        <v>0.15</v>
      </c>
      <c r="H96" s="16">
        <v>45557</v>
      </c>
      <c r="I96" s="13">
        <v>328.54</v>
      </c>
      <c r="J96" s="17">
        <f t="shared" si="6"/>
        <v>4951.8899999999994</v>
      </c>
      <c r="K96" s="26">
        <f t="shared" ca="1" si="7"/>
        <v>46287.008232175926</v>
      </c>
    </row>
    <row r="97" spans="1:11" x14ac:dyDescent="0.25">
      <c r="A97" s="11" t="s">
        <v>59</v>
      </c>
      <c r="B97" s="12" t="s">
        <v>8</v>
      </c>
      <c r="C97" s="12" t="s">
        <v>11</v>
      </c>
      <c r="D97" s="12" t="s">
        <v>3</v>
      </c>
      <c r="E97" s="13">
        <v>917.48</v>
      </c>
      <c r="F97" s="14">
        <v>6</v>
      </c>
      <c r="G97" s="15">
        <v>0</v>
      </c>
      <c r="H97" s="16">
        <v>45558</v>
      </c>
      <c r="I97" s="13">
        <v>366.99</v>
      </c>
      <c r="J97" s="17">
        <f t="shared" si="6"/>
        <v>4413.71</v>
      </c>
      <c r="K97" s="26">
        <f t="shared" ca="1" si="7"/>
        <v>46287.008232175926</v>
      </c>
    </row>
    <row r="98" spans="1:11" x14ac:dyDescent="0.25">
      <c r="A98" s="11" t="s">
        <v>32</v>
      </c>
      <c r="B98" s="12" t="s">
        <v>52</v>
      </c>
      <c r="C98" s="12" t="s">
        <v>2</v>
      </c>
      <c r="D98" s="12" t="s">
        <v>18</v>
      </c>
      <c r="E98" s="13">
        <v>1172.97</v>
      </c>
      <c r="F98" s="14">
        <v>7</v>
      </c>
      <c r="G98" s="15">
        <v>0.15</v>
      </c>
      <c r="H98" s="16">
        <v>45559</v>
      </c>
      <c r="I98" s="13">
        <v>348.96</v>
      </c>
      <c r="J98" s="17">
        <f t="shared" ref="J98:J129" si="8">SUMIF($A$2:$A$201,A98,$E$2:$E$201)</f>
        <v>5779.05</v>
      </c>
      <c r="K98" s="26">
        <f t="shared" ref="K98:K129" ca="1" si="9">NOW()</f>
        <v>46287.008232175926</v>
      </c>
    </row>
    <row r="99" spans="1:11" x14ac:dyDescent="0.25">
      <c r="A99" s="11" t="s">
        <v>48</v>
      </c>
      <c r="B99" s="12" t="s">
        <v>14</v>
      </c>
      <c r="C99" s="12" t="s">
        <v>15</v>
      </c>
      <c r="D99" s="12" t="s">
        <v>6</v>
      </c>
      <c r="E99" s="13">
        <v>1205.82</v>
      </c>
      <c r="F99" s="14">
        <v>11</v>
      </c>
      <c r="G99" s="15">
        <v>0.1</v>
      </c>
      <c r="H99" s="16">
        <v>45559</v>
      </c>
      <c r="I99" s="13">
        <v>542.62</v>
      </c>
      <c r="J99" s="17">
        <f t="shared" si="8"/>
        <v>8740.18</v>
      </c>
      <c r="K99" s="26">
        <f t="shared" ca="1" si="9"/>
        <v>46287.008232175926</v>
      </c>
    </row>
    <row r="100" spans="1:11" x14ac:dyDescent="0.25">
      <c r="A100" s="11" t="s">
        <v>7</v>
      </c>
      <c r="B100" s="12" t="s">
        <v>55</v>
      </c>
      <c r="C100" s="12" t="s">
        <v>2</v>
      </c>
      <c r="D100" s="12" t="s">
        <v>30</v>
      </c>
      <c r="E100" s="13">
        <v>826.93</v>
      </c>
      <c r="F100" s="14">
        <v>10</v>
      </c>
      <c r="G100" s="15">
        <v>0.2</v>
      </c>
      <c r="H100" s="16">
        <v>45564</v>
      </c>
      <c r="I100" s="13">
        <v>297.69</v>
      </c>
      <c r="J100" s="17">
        <f t="shared" si="8"/>
        <v>3419.2</v>
      </c>
      <c r="K100" s="26">
        <f t="shared" ca="1" si="9"/>
        <v>46287.008232175926</v>
      </c>
    </row>
    <row r="101" spans="1:11" x14ac:dyDescent="0.25">
      <c r="A101" s="11" t="s">
        <v>58</v>
      </c>
      <c r="B101" s="12" t="s">
        <v>14</v>
      </c>
      <c r="C101" s="12" t="s">
        <v>25</v>
      </c>
      <c r="D101" s="12" t="s">
        <v>6</v>
      </c>
      <c r="E101" s="13">
        <v>902.19</v>
      </c>
      <c r="F101" s="14">
        <v>12</v>
      </c>
      <c r="G101" s="15">
        <v>0</v>
      </c>
      <c r="H101" s="16">
        <v>45564</v>
      </c>
      <c r="I101" s="13">
        <v>451.1</v>
      </c>
      <c r="J101" s="17">
        <f t="shared" si="8"/>
        <v>8490.18</v>
      </c>
      <c r="K101" s="26">
        <f t="shared" ca="1" si="9"/>
        <v>46287.008232175926</v>
      </c>
    </row>
    <row r="102" spans="1:11" x14ac:dyDescent="0.25">
      <c r="A102" s="11" t="s">
        <v>65</v>
      </c>
      <c r="B102" s="12" t="s">
        <v>29</v>
      </c>
      <c r="C102" s="12" t="s">
        <v>15</v>
      </c>
      <c r="D102" s="12" t="s">
        <v>3</v>
      </c>
      <c r="E102" s="13">
        <v>585.97</v>
      </c>
      <c r="F102" s="14">
        <v>17</v>
      </c>
      <c r="G102" s="15">
        <v>0.1</v>
      </c>
      <c r="H102" s="16">
        <v>45565</v>
      </c>
      <c r="I102" s="13">
        <v>210.95</v>
      </c>
      <c r="J102" s="17">
        <f t="shared" si="8"/>
        <v>3906.04</v>
      </c>
      <c r="K102" s="26">
        <f t="shared" ca="1" si="9"/>
        <v>46287.008232175926</v>
      </c>
    </row>
    <row r="103" spans="1:11" x14ac:dyDescent="0.25">
      <c r="A103" s="11" t="s">
        <v>51</v>
      </c>
      <c r="B103" s="12" t="s">
        <v>17</v>
      </c>
      <c r="C103" s="12" t="s">
        <v>15</v>
      </c>
      <c r="D103" s="12" t="s">
        <v>6</v>
      </c>
      <c r="E103" s="13">
        <v>990.19</v>
      </c>
      <c r="F103" s="14">
        <v>8</v>
      </c>
      <c r="G103" s="15">
        <v>0.1</v>
      </c>
      <c r="H103" s="16">
        <v>45565</v>
      </c>
      <c r="I103" s="13">
        <v>445.59</v>
      </c>
      <c r="J103" s="17">
        <f t="shared" si="8"/>
        <v>3369.17</v>
      </c>
      <c r="K103" s="26">
        <f t="shared" ca="1" si="9"/>
        <v>46287.008232175926</v>
      </c>
    </row>
    <row r="104" spans="1:11" x14ac:dyDescent="0.25">
      <c r="A104" s="11" t="s">
        <v>35</v>
      </c>
      <c r="B104" s="12" t="s">
        <v>47</v>
      </c>
      <c r="C104" s="12" t="s">
        <v>25</v>
      </c>
      <c r="D104" s="12" t="s">
        <v>12</v>
      </c>
      <c r="E104" s="13">
        <v>1014.09</v>
      </c>
      <c r="F104" s="14">
        <v>13</v>
      </c>
      <c r="G104" s="15">
        <v>0.2</v>
      </c>
      <c r="H104" s="16">
        <v>45567</v>
      </c>
      <c r="I104" s="13">
        <v>202.82</v>
      </c>
      <c r="J104" s="17">
        <f t="shared" si="8"/>
        <v>9760.7999999999993</v>
      </c>
      <c r="K104" s="26">
        <f t="shared" ca="1" si="9"/>
        <v>46287.008232175926</v>
      </c>
    </row>
    <row r="105" spans="1:11" x14ac:dyDescent="0.25">
      <c r="A105" s="11" t="s">
        <v>4</v>
      </c>
      <c r="B105" s="12" t="s">
        <v>39</v>
      </c>
      <c r="C105" s="12" t="s">
        <v>15</v>
      </c>
      <c r="D105" s="12" t="s">
        <v>12</v>
      </c>
      <c r="E105" s="13">
        <v>925.29</v>
      </c>
      <c r="F105" s="14">
        <v>17</v>
      </c>
      <c r="G105" s="15">
        <v>0</v>
      </c>
      <c r="H105" s="16">
        <v>45570</v>
      </c>
      <c r="I105" s="13">
        <v>231.32</v>
      </c>
      <c r="J105" s="17">
        <f t="shared" si="8"/>
        <v>8339</v>
      </c>
      <c r="K105" s="26">
        <f t="shared" ca="1" si="9"/>
        <v>46287.008232175926</v>
      </c>
    </row>
    <row r="106" spans="1:11" x14ac:dyDescent="0.25">
      <c r="A106" s="11" t="s">
        <v>45</v>
      </c>
      <c r="B106" s="12" t="s">
        <v>38</v>
      </c>
      <c r="C106" s="12" t="s">
        <v>9</v>
      </c>
      <c r="D106" s="12" t="s">
        <v>18</v>
      </c>
      <c r="E106" s="13">
        <v>1286.54</v>
      </c>
      <c r="F106" s="14">
        <v>8</v>
      </c>
      <c r="G106" s="15">
        <v>0</v>
      </c>
      <c r="H106" s="16">
        <v>45575</v>
      </c>
      <c r="I106" s="13">
        <v>450.29</v>
      </c>
      <c r="J106" s="17">
        <f t="shared" si="8"/>
        <v>6716.52</v>
      </c>
      <c r="K106" s="26">
        <f t="shared" ca="1" si="9"/>
        <v>46287.008232175926</v>
      </c>
    </row>
    <row r="107" spans="1:11" x14ac:dyDescent="0.25">
      <c r="A107" s="11" t="s">
        <v>28</v>
      </c>
      <c r="B107" s="12" t="s">
        <v>55</v>
      </c>
      <c r="C107" s="12" t="s">
        <v>11</v>
      </c>
      <c r="D107" s="12" t="s">
        <v>3</v>
      </c>
      <c r="E107" s="13">
        <v>961.62</v>
      </c>
      <c r="F107" s="14">
        <v>8</v>
      </c>
      <c r="G107" s="15">
        <v>0.2</v>
      </c>
      <c r="H107" s="16">
        <v>45577</v>
      </c>
      <c r="I107" s="13">
        <v>307.72000000000003</v>
      </c>
      <c r="J107" s="17">
        <f t="shared" si="8"/>
        <v>6729.8899999999994</v>
      </c>
      <c r="K107" s="26">
        <f t="shared" ca="1" si="9"/>
        <v>46287.008232175926</v>
      </c>
    </row>
    <row r="108" spans="1:11" x14ac:dyDescent="0.25">
      <c r="A108" s="11" t="s">
        <v>35</v>
      </c>
      <c r="B108" s="12" t="s">
        <v>14</v>
      </c>
      <c r="C108" s="12" t="s">
        <v>9</v>
      </c>
      <c r="D108" s="12" t="s">
        <v>3</v>
      </c>
      <c r="E108" s="13">
        <v>1081.1400000000001</v>
      </c>
      <c r="F108" s="14">
        <v>19</v>
      </c>
      <c r="G108" s="15">
        <v>0.15</v>
      </c>
      <c r="H108" s="16">
        <v>45577</v>
      </c>
      <c r="I108" s="13">
        <v>367.59</v>
      </c>
      <c r="J108" s="17">
        <f t="shared" si="8"/>
        <v>9760.7999999999993</v>
      </c>
      <c r="K108" s="26">
        <f t="shared" ca="1" si="9"/>
        <v>46287.008232175926</v>
      </c>
    </row>
    <row r="109" spans="1:11" x14ac:dyDescent="0.25">
      <c r="A109" s="11" t="s">
        <v>49</v>
      </c>
      <c r="B109" s="12" t="s">
        <v>14</v>
      </c>
      <c r="C109" s="12" t="s">
        <v>2</v>
      </c>
      <c r="D109" s="12" t="s">
        <v>6</v>
      </c>
      <c r="E109" s="13">
        <v>1923.66</v>
      </c>
      <c r="F109" s="14">
        <v>9</v>
      </c>
      <c r="G109" s="15">
        <v>0.2</v>
      </c>
      <c r="H109" s="16">
        <v>45580</v>
      </c>
      <c r="I109" s="13">
        <v>769.46</v>
      </c>
      <c r="J109" s="17">
        <f t="shared" si="8"/>
        <v>11611.060000000001</v>
      </c>
      <c r="K109" s="26">
        <f t="shared" ca="1" si="9"/>
        <v>46287.008232175926</v>
      </c>
    </row>
    <row r="110" spans="1:11" x14ac:dyDescent="0.25">
      <c r="A110" s="11" t="s">
        <v>45</v>
      </c>
      <c r="B110" s="12" t="s">
        <v>57</v>
      </c>
      <c r="C110" s="12" t="s">
        <v>25</v>
      </c>
      <c r="D110" s="12" t="s">
        <v>6</v>
      </c>
      <c r="E110" s="13">
        <v>728.71</v>
      </c>
      <c r="F110" s="14">
        <v>14</v>
      </c>
      <c r="G110" s="15">
        <v>0.1</v>
      </c>
      <c r="H110" s="16">
        <v>45581</v>
      </c>
      <c r="I110" s="13">
        <v>327.92</v>
      </c>
      <c r="J110" s="17">
        <f t="shared" si="8"/>
        <v>6716.52</v>
      </c>
      <c r="K110" s="26">
        <f t="shared" ca="1" si="9"/>
        <v>46287.008232175926</v>
      </c>
    </row>
    <row r="111" spans="1:11" x14ac:dyDescent="0.25">
      <c r="A111" s="11" t="s">
        <v>0</v>
      </c>
      <c r="B111" s="12" t="s">
        <v>24</v>
      </c>
      <c r="C111" s="12" t="s">
        <v>25</v>
      </c>
      <c r="D111" s="12" t="s">
        <v>6</v>
      </c>
      <c r="E111" s="13">
        <v>1301.8900000000001</v>
      </c>
      <c r="F111" s="14">
        <v>7</v>
      </c>
      <c r="G111" s="15">
        <v>0.15</v>
      </c>
      <c r="H111" s="16">
        <v>45581</v>
      </c>
      <c r="I111" s="13">
        <v>553.29999999999995</v>
      </c>
      <c r="J111" s="17">
        <f t="shared" si="8"/>
        <v>4640.1099999999997</v>
      </c>
      <c r="K111" s="26">
        <f t="shared" ca="1" si="9"/>
        <v>46287.008232175926</v>
      </c>
    </row>
    <row r="112" spans="1:11" x14ac:dyDescent="0.25">
      <c r="A112" s="11" t="s">
        <v>61</v>
      </c>
      <c r="B112" s="12" t="s">
        <v>57</v>
      </c>
      <c r="C112" s="12" t="s">
        <v>9</v>
      </c>
      <c r="D112" s="12" t="s">
        <v>3</v>
      </c>
      <c r="E112" s="13">
        <v>980.18</v>
      </c>
      <c r="F112" s="14">
        <v>16</v>
      </c>
      <c r="G112" s="15">
        <v>0.1</v>
      </c>
      <c r="H112" s="16">
        <v>45582</v>
      </c>
      <c r="I112" s="13">
        <v>352.86</v>
      </c>
      <c r="J112" s="17">
        <f t="shared" si="8"/>
        <v>7583.1299999999992</v>
      </c>
      <c r="K112" s="26">
        <f t="shared" ca="1" si="9"/>
        <v>46287.008232175926</v>
      </c>
    </row>
    <row r="113" spans="1:11" x14ac:dyDescent="0.25">
      <c r="A113" s="11" t="s">
        <v>65</v>
      </c>
      <c r="B113" s="12" t="s">
        <v>14</v>
      </c>
      <c r="C113" s="12" t="s">
        <v>2</v>
      </c>
      <c r="D113" s="12" t="s">
        <v>6</v>
      </c>
      <c r="E113" s="13">
        <v>697.57</v>
      </c>
      <c r="F113" s="14">
        <v>17</v>
      </c>
      <c r="G113" s="15">
        <v>0.1</v>
      </c>
      <c r="H113" s="16">
        <v>45584</v>
      </c>
      <c r="I113" s="13">
        <v>313.91000000000003</v>
      </c>
      <c r="J113" s="17">
        <f t="shared" si="8"/>
        <v>3906.04</v>
      </c>
      <c r="K113" s="26">
        <f t="shared" ca="1" si="9"/>
        <v>46287.008232175926</v>
      </c>
    </row>
    <row r="114" spans="1:11" x14ac:dyDescent="0.25">
      <c r="A114" s="11" t="s">
        <v>37</v>
      </c>
      <c r="B114" s="12" t="s">
        <v>62</v>
      </c>
      <c r="C114" s="12" t="s">
        <v>2</v>
      </c>
      <c r="D114" s="12" t="s">
        <v>18</v>
      </c>
      <c r="E114" s="13">
        <v>1193.6099999999999</v>
      </c>
      <c r="F114" s="14">
        <v>1</v>
      </c>
      <c r="G114" s="15">
        <v>0.15</v>
      </c>
      <c r="H114" s="16">
        <v>45584</v>
      </c>
      <c r="I114" s="13">
        <v>355.1</v>
      </c>
      <c r="J114" s="17">
        <f t="shared" si="8"/>
        <v>2699.75</v>
      </c>
      <c r="K114" s="26">
        <f t="shared" ca="1" si="9"/>
        <v>46287.008232175926</v>
      </c>
    </row>
    <row r="115" spans="1:11" x14ac:dyDescent="0.25">
      <c r="A115" s="11" t="s">
        <v>23</v>
      </c>
      <c r="B115" s="12" t="s">
        <v>29</v>
      </c>
      <c r="C115" s="12" t="s">
        <v>11</v>
      </c>
      <c r="D115" s="12" t="s">
        <v>12</v>
      </c>
      <c r="E115" s="13">
        <v>771.02</v>
      </c>
      <c r="F115" s="14">
        <v>1</v>
      </c>
      <c r="G115" s="15">
        <v>0</v>
      </c>
      <c r="H115" s="16">
        <v>45585</v>
      </c>
      <c r="I115" s="13">
        <v>192.76</v>
      </c>
      <c r="J115" s="17">
        <f t="shared" si="8"/>
        <v>6505.2</v>
      </c>
      <c r="K115" s="26">
        <f t="shared" ca="1" si="9"/>
        <v>46287.008232175926</v>
      </c>
    </row>
    <row r="116" spans="1:11" x14ac:dyDescent="0.25">
      <c r="A116" s="11" t="s">
        <v>58</v>
      </c>
      <c r="B116" s="12" t="s">
        <v>60</v>
      </c>
      <c r="C116" s="12" t="s">
        <v>15</v>
      </c>
      <c r="D116" s="12" t="s">
        <v>6</v>
      </c>
      <c r="E116" s="13">
        <v>661.09</v>
      </c>
      <c r="F116" s="14">
        <v>1</v>
      </c>
      <c r="G116" s="15">
        <v>0.2</v>
      </c>
      <c r="H116" s="16">
        <v>45593</v>
      </c>
      <c r="I116" s="13">
        <v>264.44</v>
      </c>
      <c r="J116" s="17">
        <f t="shared" si="8"/>
        <v>8490.18</v>
      </c>
      <c r="K116" s="26">
        <f t="shared" ca="1" si="9"/>
        <v>46287.008232175926</v>
      </c>
    </row>
    <row r="117" spans="1:11" x14ac:dyDescent="0.25">
      <c r="A117" s="11" t="s">
        <v>4</v>
      </c>
      <c r="B117" s="12" t="s">
        <v>46</v>
      </c>
      <c r="C117" s="12" t="s">
        <v>2</v>
      </c>
      <c r="D117" s="12" t="s">
        <v>12</v>
      </c>
      <c r="E117" s="13">
        <v>688.83</v>
      </c>
      <c r="F117" s="14">
        <v>15</v>
      </c>
      <c r="G117" s="15">
        <v>0</v>
      </c>
      <c r="H117" s="16">
        <v>45595</v>
      </c>
      <c r="I117" s="13">
        <v>172.21</v>
      </c>
      <c r="J117" s="17">
        <f t="shared" si="8"/>
        <v>8339</v>
      </c>
      <c r="K117" s="26">
        <f t="shared" ca="1" si="9"/>
        <v>46287.008232175926</v>
      </c>
    </row>
    <row r="118" spans="1:11" x14ac:dyDescent="0.25">
      <c r="A118" s="11" t="s">
        <v>64</v>
      </c>
      <c r="B118" s="12" t="s">
        <v>20</v>
      </c>
      <c r="C118" s="12" t="s">
        <v>25</v>
      </c>
      <c r="D118" s="12" t="s">
        <v>3</v>
      </c>
      <c r="E118" s="13">
        <v>1249.0999999999999</v>
      </c>
      <c r="F118" s="14">
        <v>4</v>
      </c>
      <c r="G118" s="15">
        <v>0.05</v>
      </c>
      <c r="H118" s="16">
        <v>45597</v>
      </c>
      <c r="I118" s="13">
        <v>474.66</v>
      </c>
      <c r="J118" s="17">
        <f t="shared" si="8"/>
        <v>4162.4400000000005</v>
      </c>
      <c r="K118" s="26">
        <f t="shared" ca="1" si="9"/>
        <v>46287.008232175926</v>
      </c>
    </row>
    <row r="119" spans="1:11" x14ac:dyDescent="0.25">
      <c r="A119" s="11" t="s">
        <v>35</v>
      </c>
      <c r="B119" s="12" t="s">
        <v>14</v>
      </c>
      <c r="C119" s="12" t="s">
        <v>9</v>
      </c>
      <c r="D119" s="12" t="s">
        <v>30</v>
      </c>
      <c r="E119" s="13">
        <v>1014.22</v>
      </c>
      <c r="F119" s="14">
        <v>14</v>
      </c>
      <c r="G119" s="15">
        <v>0.05</v>
      </c>
      <c r="H119" s="16">
        <v>45599</v>
      </c>
      <c r="I119" s="13">
        <v>433.58</v>
      </c>
      <c r="J119" s="17">
        <f t="shared" si="8"/>
        <v>9760.7999999999993</v>
      </c>
      <c r="K119" s="26">
        <f t="shared" ca="1" si="9"/>
        <v>46287.008232175926</v>
      </c>
    </row>
    <row r="120" spans="1:11" x14ac:dyDescent="0.25">
      <c r="A120" s="11" t="s">
        <v>45</v>
      </c>
      <c r="B120" s="12" t="s">
        <v>39</v>
      </c>
      <c r="C120" s="12" t="s">
        <v>9</v>
      </c>
      <c r="D120" s="12" t="s">
        <v>3</v>
      </c>
      <c r="E120" s="13">
        <v>1010.58</v>
      </c>
      <c r="F120" s="14">
        <v>2</v>
      </c>
      <c r="G120" s="15">
        <v>0.15</v>
      </c>
      <c r="H120" s="16">
        <v>45605</v>
      </c>
      <c r="I120" s="13">
        <v>343.6</v>
      </c>
      <c r="J120" s="17">
        <f t="shared" si="8"/>
        <v>6716.52</v>
      </c>
      <c r="K120" s="26">
        <f t="shared" ca="1" si="9"/>
        <v>46287.008232175926</v>
      </c>
    </row>
    <row r="121" spans="1:11" x14ac:dyDescent="0.25">
      <c r="A121" s="11" t="s">
        <v>21</v>
      </c>
      <c r="B121" s="12" t="s">
        <v>50</v>
      </c>
      <c r="C121" s="12" t="s">
        <v>15</v>
      </c>
      <c r="D121" s="12" t="s">
        <v>18</v>
      </c>
      <c r="E121" s="13">
        <v>957.29</v>
      </c>
      <c r="F121" s="14">
        <v>4</v>
      </c>
      <c r="G121" s="15">
        <v>0.05</v>
      </c>
      <c r="H121" s="16">
        <v>45605</v>
      </c>
      <c r="I121" s="13">
        <v>318.3</v>
      </c>
      <c r="J121" s="17">
        <f t="shared" si="8"/>
        <v>9371.81</v>
      </c>
      <c r="K121" s="26">
        <f t="shared" ca="1" si="9"/>
        <v>46287.008232175926</v>
      </c>
    </row>
    <row r="122" spans="1:11" x14ac:dyDescent="0.25">
      <c r="A122" s="11" t="s">
        <v>19</v>
      </c>
      <c r="B122" s="12" t="s">
        <v>36</v>
      </c>
      <c r="C122" s="12" t="s">
        <v>15</v>
      </c>
      <c r="D122" s="12" t="s">
        <v>18</v>
      </c>
      <c r="E122" s="13">
        <v>1077.92</v>
      </c>
      <c r="F122" s="14">
        <v>3</v>
      </c>
      <c r="G122" s="15">
        <v>0.05</v>
      </c>
      <c r="H122" s="16">
        <v>45608</v>
      </c>
      <c r="I122" s="13">
        <v>358.41</v>
      </c>
      <c r="J122" s="17">
        <f t="shared" si="8"/>
        <v>6549.55</v>
      </c>
      <c r="K122" s="26">
        <f t="shared" ca="1" si="9"/>
        <v>46287.008232175926</v>
      </c>
    </row>
    <row r="123" spans="1:11" x14ac:dyDescent="0.25">
      <c r="A123" s="11" t="s">
        <v>43</v>
      </c>
      <c r="B123" s="12" t="s">
        <v>41</v>
      </c>
      <c r="C123" s="12" t="s">
        <v>11</v>
      </c>
      <c r="D123" s="12" t="s">
        <v>6</v>
      </c>
      <c r="E123" s="13">
        <v>1163.01</v>
      </c>
      <c r="F123" s="14">
        <v>5</v>
      </c>
      <c r="G123" s="15">
        <v>0</v>
      </c>
      <c r="H123" s="16">
        <v>45611</v>
      </c>
      <c r="I123" s="13">
        <v>581.5</v>
      </c>
      <c r="J123" s="17">
        <f t="shared" si="8"/>
        <v>10293.870000000001</v>
      </c>
      <c r="K123" s="26">
        <f t="shared" ca="1" si="9"/>
        <v>46287.008232175926</v>
      </c>
    </row>
    <row r="124" spans="1:11" x14ac:dyDescent="0.25">
      <c r="A124" s="11" t="s">
        <v>45</v>
      </c>
      <c r="B124" s="12" t="s">
        <v>36</v>
      </c>
      <c r="C124" s="12" t="s">
        <v>9</v>
      </c>
      <c r="D124" s="12" t="s">
        <v>30</v>
      </c>
      <c r="E124" s="13">
        <v>1014.56</v>
      </c>
      <c r="F124" s="14">
        <v>10</v>
      </c>
      <c r="G124" s="15">
        <v>0.1</v>
      </c>
      <c r="H124" s="16">
        <v>45612</v>
      </c>
      <c r="I124" s="13">
        <v>410.9</v>
      </c>
      <c r="J124" s="17">
        <f t="shared" si="8"/>
        <v>6716.52</v>
      </c>
      <c r="K124" s="26">
        <f t="shared" ca="1" si="9"/>
        <v>46287.008232175926</v>
      </c>
    </row>
    <row r="125" spans="1:11" x14ac:dyDescent="0.25">
      <c r="A125" s="11" t="s">
        <v>0</v>
      </c>
      <c r="B125" s="12" t="s">
        <v>8</v>
      </c>
      <c r="C125" s="12" t="s">
        <v>11</v>
      </c>
      <c r="D125" s="12" t="s">
        <v>12</v>
      </c>
      <c r="E125" s="13">
        <v>718.04</v>
      </c>
      <c r="F125" s="14">
        <v>14</v>
      </c>
      <c r="G125" s="15">
        <v>0</v>
      </c>
      <c r="H125" s="16">
        <v>45613</v>
      </c>
      <c r="I125" s="13">
        <v>179.51</v>
      </c>
      <c r="J125" s="17">
        <f t="shared" si="8"/>
        <v>4640.1099999999997</v>
      </c>
      <c r="K125" s="26">
        <f t="shared" ca="1" si="9"/>
        <v>46287.008232175926</v>
      </c>
    </row>
    <row r="126" spans="1:11" x14ac:dyDescent="0.25">
      <c r="A126" s="11" t="s">
        <v>63</v>
      </c>
      <c r="B126" s="12" t="s">
        <v>8</v>
      </c>
      <c r="C126" s="12" t="s">
        <v>25</v>
      </c>
      <c r="D126" s="12" t="s">
        <v>6</v>
      </c>
      <c r="E126" s="13">
        <v>1277.8499999999999</v>
      </c>
      <c r="F126" s="14">
        <v>18</v>
      </c>
      <c r="G126" s="15">
        <v>0.2</v>
      </c>
      <c r="H126" s="16">
        <v>45613</v>
      </c>
      <c r="I126" s="13">
        <v>511.14</v>
      </c>
      <c r="J126" s="17">
        <f t="shared" si="8"/>
        <v>7813.59</v>
      </c>
      <c r="K126" s="26">
        <f t="shared" ca="1" si="9"/>
        <v>46287.008232175926</v>
      </c>
    </row>
    <row r="127" spans="1:11" x14ac:dyDescent="0.25">
      <c r="A127" s="11" t="s">
        <v>61</v>
      </c>
      <c r="B127" s="12" t="s">
        <v>14</v>
      </c>
      <c r="C127" s="12" t="s">
        <v>15</v>
      </c>
      <c r="D127" s="12" t="s">
        <v>12</v>
      </c>
      <c r="E127" s="13">
        <v>706.73</v>
      </c>
      <c r="F127" s="14">
        <v>1</v>
      </c>
      <c r="G127" s="15">
        <v>0.15</v>
      </c>
      <c r="H127" s="16">
        <v>45613</v>
      </c>
      <c r="I127" s="13">
        <v>150.18</v>
      </c>
      <c r="J127" s="17">
        <f t="shared" si="8"/>
        <v>7583.1299999999992</v>
      </c>
      <c r="K127" s="26">
        <f t="shared" ca="1" si="9"/>
        <v>46287.008232175926</v>
      </c>
    </row>
    <row r="128" spans="1:11" x14ac:dyDescent="0.25">
      <c r="A128" s="11" t="s">
        <v>56</v>
      </c>
      <c r="B128" s="12" t="s">
        <v>41</v>
      </c>
      <c r="C128" s="12" t="s">
        <v>9</v>
      </c>
      <c r="D128" s="12" t="s">
        <v>12</v>
      </c>
      <c r="E128" s="13">
        <v>1410.59</v>
      </c>
      <c r="F128" s="14">
        <v>15</v>
      </c>
      <c r="G128" s="15">
        <v>0</v>
      </c>
      <c r="H128" s="16">
        <v>45615</v>
      </c>
      <c r="I128" s="13">
        <v>352.65</v>
      </c>
      <c r="J128" s="17">
        <f t="shared" si="8"/>
        <v>6481.43</v>
      </c>
      <c r="K128" s="26">
        <f t="shared" ca="1" si="9"/>
        <v>46287.008232175926</v>
      </c>
    </row>
    <row r="129" spans="1:11" x14ac:dyDescent="0.25">
      <c r="A129" s="11" t="s">
        <v>23</v>
      </c>
      <c r="B129" s="12" t="s">
        <v>52</v>
      </c>
      <c r="C129" s="12" t="s">
        <v>11</v>
      </c>
      <c r="D129" s="12" t="s">
        <v>18</v>
      </c>
      <c r="E129" s="13">
        <v>1350.33</v>
      </c>
      <c r="F129" s="14">
        <v>10</v>
      </c>
      <c r="G129" s="15">
        <v>0</v>
      </c>
      <c r="H129" s="16">
        <v>45615</v>
      </c>
      <c r="I129" s="13">
        <v>472.62</v>
      </c>
      <c r="J129" s="17">
        <f t="shared" si="8"/>
        <v>6505.2</v>
      </c>
      <c r="K129" s="26">
        <f t="shared" ca="1" si="9"/>
        <v>46287.008232175926</v>
      </c>
    </row>
    <row r="130" spans="1:11" x14ac:dyDescent="0.25">
      <c r="A130" s="11" t="s">
        <v>32</v>
      </c>
      <c r="B130" s="12" t="s">
        <v>36</v>
      </c>
      <c r="C130" s="12" t="s">
        <v>9</v>
      </c>
      <c r="D130" s="12" t="s">
        <v>12</v>
      </c>
      <c r="E130" s="13">
        <v>919.18</v>
      </c>
      <c r="F130" s="14">
        <v>4</v>
      </c>
      <c r="G130" s="15">
        <v>0.15</v>
      </c>
      <c r="H130" s="16">
        <v>45615</v>
      </c>
      <c r="I130" s="13">
        <v>195.33</v>
      </c>
      <c r="J130" s="17">
        <f t="shared" ref="J130:J161" si="10">SUMIF($A$2:$A$201,A130,$E$2:$E$201)</f>
        <v>5779.05</v>
      </c>
      <c r="K130" s="26">
        <f t="shared" ref="K130:K161" ca="1" si="11">NOW()</f>
        <v>46287.008232175926</v>
      </c>
    </row>
    <row r="131" spans="1:11" x14ac:dyDescent="0.25">
      <c r="A131" s="11" t="s">
        <v>65</v>
      </c>
      <c r="B131" s="12" t="s">
        <v>14</v>
      </c>
      <c r="C131" s="12" t="s">
        <v>2</v>
      </c>
      <c r="D131" s="12" t="s">
        <v>12</v>
      </c>
      <c r="E131" s="13">
        <v>258.51</v>
      </c>
      <c r="F131" s="14">
        <v>19</v>
      </c>
      <c r="G131" s="15">
        <v>0</v>
      </c>
      <c r="H131" s="16">
        <v>45616</v>
      </c>
      <c r="I131" s="13">
        <v>64.63</v>
      </c>
      <c r="J131" s="17">
        <f t="shared" si="10"/>
        <v>3906.04</v>
      </c>
      <c r="K131" s="26">
        <f t="shared" ca="1" si="11"/>
        <v>46287.008232175926</v>
      </c>
    </row>
    <row r="132" spans="1:11" x14ac:dyDescent="0.25">
      <c r="A132" s="11" t="s">
        <v>54</v>
      </c>
      <c r="B132" s="12" t="s">
        <v>52</v>
      </c>
      <c r="C132" s="12" t="s">
        <v>9</v>
      </c>
      <c r="D132" s="12" t="s">
        <v>3</v>
      </c>
      <c r="E132" s="13">
        <v>1213.48</v>
      </c>
      <c r="F132" s="14">
        <v>5</v>
      </c>
      <c r="G132" s="15">
        <v>0.05</v>
      </c>
      <c r="H132" s="16">
        <v>45616</v>
      </c>
      <c r="I132" s="13">
        <v>461.12</v>
      </c>
      <c r="J132" s="17">
        <f t="shared" si="10"/>
        <v>3762.2900000000004</v>
      </c>
      <c r="K132" s="26">
        <f t="shared" ca="1" si="11"/>
        <v>46287.008232175926</v>
      </c>
    </row>
    <row r="133" spans="1:11" x14ac:dyDescent="0.25">
      <c r="A133" s="11" t="s">
        <v>48</v>
      </c>
      <c r="B133" s="12" t="s">
        <v>29</v>
      </c>
      <c r="C133" s="12" t="s">
        <v>25</v>
      </c>
      <c r="D133" s="12" t="s">
        <v>3</v>
      </c>
      <c r="E133" s="13">
        <v>1150.28</v>
      </c>
      <c r="F133" s="14">
        <v>8</v>
      </c>
      <c r="G133" s="15">
        <v>0.05</v>
      </c>
      <c r="H133" s="16">
        <v>45622</v>
      </c>
      <c r="I133" s="13">
        <v>437.11</v>
      </c>
      <c r="J133" s="17">
        <f t="shared" si="10"/>
        <v>8740.18</v>
      </c>
      <c r="K133" s="26">
        <f t="shared" ca="1" si="11"/>
        <v>46287.008232175926</v>
      </c>
    </row>
    <row r="134" spans="1:11" x14ac:dyDescent="0.25">
      <c r="A134" s="11" t="s">
        <v>28</v>
      </c>
      <c r="B134" s="12" t="s">
        <v>62</v>
      </c>
      <c r="C134" s="12" t="s">
        <v>11</v>
      </c>
      <c r="D134" s="12" t="s">
        <v>18</v>
      </c>
      <c r="E134" s="13">
        <v>853.86</v>
      </c>
      <c r="F134" s="14">
        <v>8</v>
      </c>
      <c r="G134" s="15">
        <v>0.1</v>
      </c>
      <c r="H134" s="16">
        <v>45622</v>
      </c>
      <c r="I134" s="13">
        <v>268.97000000000003</v>
      </c>
      <c r="J134" s="17">
        <f t="shared" si="10"/>
        <v>6729.8899999999994</v>
      </c>
      <c r="K134" s="26">
        <f t="shared" ca="1" si="11"/>
        <v>46287.008232175926</v>
      </c>
    </row>
    <row r="135" spans="1:11" x14ac:dyDescent="0.25">
      <c r="A135" s="11" t="s">
        <v>66</v>
      </c>
      <c r="B135" s="12" t="s">
        <v>36</v>
      </c>
      <c r="C135" s="12" t="s">
        <v>11</v>
      </c>
      <c r="D135" s="12" t="s">
        <v>12</v>
      </c>
      <c r="E135" s="13">
        <v>1061.04</v>
      </c>
      <c r="F135" s="14">
        <v>1</v>
      </c>
      <c r="G135" s="15">
        <v>0</v>
      </c>
      <c r="H135" s="16">
        <v>45624</v>
      </c>
      <c r="I135" s="13">
        <v>265.26</v>
      </c>
      <c r="J135" s="17">
        <f t="shared" si="10"/>
        <v>4951.8899999999994</v>
      </c>
      <c r="K135" s="26">
        <f t="shared" ca="1" si="11"/>
        <v>46287.008232175926</v>
      </c>
    </row>
    <row r="136" spans="1:11" x14ac:dyDescent="0.25">
      <c r="A136" s="11" t="s">
        <v>19</v>
      </c>
      <c r="B136" s="12" t="s">
        <v>34</v>
      </c>
      <c r="C136" s="12" t="s">
        <v>2</v>
      </c>
      <c r="D136" s="12" t="s">
        <v>12</v>
      </c>
      <c r="E136" s="13">
        <v>894.55</v>
      </c>
      <c r="F136" s="14">
        <v>19</v>
      </c>
      <c r="G136" s="15">
        <v>0.2</v>
      </c>
      <c r="H136" s="16">
        <v>45625</v>
      </c>
      <c r="I136" s="13">
        <v>178.91</v>
      </c>
      <c r="J136" s="17">
        <f t="shared" si="10"/>
        <v>6549.55</v>
      </c>
      <c r="K136" s="26">
        <f t="shared" ca="1" si="11"/>
        <v>46287.008232175926</v>
      </c>
    </row>
    <row r="137" spans="1:11" x14ac:dyDescent="0.25">
      <c r="A137" s="11" t="s">
        <v>16</v>
      </c>
      <c r="B137" s="12" t="s">
        <v>29</v>
      </c>
      <c r="C137" s="12" t="s">
        <v>15</v>
      </c>
      <c r="D137" s="12" t="s">
        <v>30</v>
      </c>
      <c r="E137" s="13">
        <v>833.91</v>
      </c>
      <c r="F137" s="14">
        <v>3</v>
      </c>
      <c r="G137" s="15">
        <v>0.05</v>
      </c>
      <c r="H137" s="16">
        <v>45626</v>
      </c>
      <c r="I137" s="13">
        <v>356.5</v>
      </c>
      <c r="J137" s="17">
        <f t="shared" si="10"/>
        <v>9941.8799999999992</v>
      </c>
      <c r="K137" s="26">
        <f t="shared" ca="1" si="11"/>
        <v>46287.008232175926</v>
      </c>
    </row>
    <row r="138" spans="1:11" x14ac:dyDescent="0.25">
      <c r="A138" s="11" t="s">
        <v>49</v>
      </c>
      <c r="B138" s="12" t="s">
        <v>62</v>
      </c>
      <c r="C138" s="12" t="s">
        <v>2</v>
      </c>
      <c r="D138" s="12" t="s">
        <v>18</v>
      </c>
      <c r="E138" s="13">
        <v>820.19</v>
      </c>
      <c r="F138" s="14">
        <v>4</v>
      </c>
      <c r="G138" s="15">
        <v>0.2</v>
      </c>
      <c r="H138" s="16">
        <v>45630</v>
      </c>
      <c r="I138" s="13">
        <v>229.65</v>
      </c>
      <c r="J138" s="17">
        <f t="shared" si="10"/>
        <v>11611.060000000001</v>
      </c>
      <c r="K138" s="26">
        <f t="shared" ca="1" si="11"/>
        <v>46287.008232175926</v>
      </c>
    </row>
    <row r="139" spans="1:11" x14ac:dyDescent="0.25">
      <c r="A139" s="11" t="s">
        <v>49</v>
      </c>
      <c r="B139" s="12" t="s">
        <v>29</v>
      </c>
      <c r="C139" s="12" t="s">
        <v>25</v>
      </c>
      <c r="D139" s="12" t="s">
        <v>12</v>
      </c>
      <c r="E139" s="13">
        <v>511.74</v>
      </c>
      <c r="F139" s="14">
        <v>8</v>
      </c>
      <c r="G139" s="15">
        <v>0.05</v>
      </c>
      <c r="H139" s="16">
        <v>45631</v>
      </c>
      <c r="I139" s="13">
        <v>121.54</v>
      </c>
      <c r="J139" s="17">
        <f t="shared" si="10"/>
        <v>11611.060000000001</v>
      </c>
      <c r="K139" s="26">
        <f t="shared" ca="1" si="11"/>
        <v>46287.008232175926</v>
      </c>
    </row>
    <row r="140" spans="1:11" x14ac:dyDescent="0.25">
      <c r="A140" s="11" t="s">
        <v>56</v>
      </c>
      <c r="B140" s="12" t="s">
        <v>52</v>
      </c>
      <c r="C140" s="12" t="s">
        <v>11</v>
      </c>
      <c r="D140" s="12" t="s">
        <v>18</v>
      </c>
      <c r="E140" s="13">
        <v>806.03</v>
      </c>
      <c r="F140" s="14">
        <v>19</v>
      </c>
      <c r="G140" s="15">
        <v>0.05</v>
      </c>
      <c r="H140" s="16">
        <v>45638</v>
      </c>
      <c r="I140" s="13">
        <v>268</v>
      </c>
      <c r="J140" s="17">
        <f t="shared" si="10"/>
        <v>6481.43</v>
      </c>
      <c r="K140" s="26">
        <f t="shared" ca="1" si="11"/>
        <v>46287.008232175926</v>
      </c>
    </row>
    <row r="141" spans="1:11" x14ac:dyDescent="0.25">
      <c r="A141" s="11" t="s">
        <v>19</v>
      </c>
      <c r="B141" s="12" t="s">
        <v>17</v>
      </c>
      <c r="C141" s="12" t="s">
        <v>25</v>
      </c>
      <c r="D141" s="12" t="s">
        <v>18</v>
      </c>
      <c r="E141" s="13">
        <v>1432.47</v>
      </c>
      <c r="F141" s="14">
        <v>16</v>
      </c>
      <c r="G141" s="15">
        <v>0.15</v>
      </c>
      <c r="H141" s="16">
        <v>45640</v>
      </c>
      <c r="I141" s="13">
        <v>426.16</v>
      </c>
      <c r="J141" s="17">
        <f t="shared" si="10"/>
        <v>6549.55</v>
      </c>
      <c r="K141" s="26">
        <f t="shared" ca="1" si="11"/>
        <v>46287.008232175926</v>
      </c>
    </row>
    <row r="142" spans="1:11" x14ac:dyDescent="0.25">
      <c r="A142" s="11" t="s">
        <v>65</v>
      </c>
      <c r="B142" s="12" t="s">
        <v>20</v>
      </c>
      <c r="C142" s="12" t="s">
        <v>25</v>
      </c>
      <c r="D142" s="12" t="s">
        <v>12</v>
      </c>
      <c r="E142" s="13">
        <v>1488.58</v>
      </c>
      <c r="F142" s="14">
        <v>10</v>
      </c>
      <c r="G142" s="15">
        <v>0.15</v>
      </c>
      <c r="H142" s="16">
        <v>45640</v>
      </c>
      <c r="I142" s="13">
        <v>316.32</v>
      </c>
      <c r="J142" s="17">
        <f t="shared" si="10"/>
        <v>3906.04</v>
      </c>
      <c r="K142" s="26">
        <f t="shared" ca="1" si="11"/>
        <v>46287.008232175926</v>
      </c>
    </row>
    <row r="143" spans="1:11" x14ac:dyDescent="0.25">
      <c r="A143" s="11" t="s">
        <v>21</v>
      </c>
      <c r="B143" s="12" t="s">
        <v>57</v>
      </c>
      <c r="C143" s="12" t="s">
        <v>9</v>
      </c>
      <c r="D143" s="12" t="s">
        <v>3</v>
      </c>
      <c r="E143" s="13">
        <v>1231.26</v>
      </c>
      <c r="F143" s="14">
        <v>9</v>
      </c>
      <c r="G143" s="15">
        <v>0</v>
      </c>
      <c r="H143" s="16">
        <v>45646</v>
      </c>
      <c r="I143" s="13">
        <v>492.5</v>
      </c>
      <c r="J143" s="17">
        <f t="shared" si="10"/>
        <v>9371.81</v>
      </c>
      <c r="K143" s="26">
        <f t="shared" ca="1" si="11"/>
        <v>46287.008232175926</v>
      </c>
    </row>
    <row r="144" spans="1:11" x14ac:dyDescent="0.25">
      <c r="A144" s="11" t="s">
        <v>21</v>
      </c>
      <c r="B144" s="12" t="s">
        <v>34</v>
      </c>
      <c r="C144" s="12" t="s">
        <v>2</v>
      </c>
      <c r="D144" s="12" t="s">
        <v>12</v>
      </c>
      <c r="E144" s="13">
        <v>1161.67</v>
      </c>
      <c r="F144" s="14">
        <v>19</v>
      </c>
      <c r="G144" s="15">
        <v>0.2</v>
      </c>
      <c r="H144" s="16">
        <v>45647</v>
      </c>
      <c r="I144" s="13">
        <v>232.33</v>
      </c>
      <c r="J144" s="17">
        <f t="shared" si="10"/>
        <v>9371.81</v>
      </c>
      <c r="K144" s="26">
        <f t="shared" ca="1" si="11"/>
        <v>46287.008232175926</v>
      </c>
    </row>
    <row r="145" spans="1:11" x14ac:dyDescent="0.25">
      <c r="A145" s="11" t="s">
        <v>40</v>
      </c>
      <c r="B145" s="12" t="s">
        <v>36</v>
      </c>
      <c r="C145" s="12" t="s">
        <v>25</v>
      </c>
      <c r="D145" s="12" t="s">
        <v>30</v>
      </c>
      <c r="E145" s="13">
        <v>388.23</v>
      </c>
      <c r="F145" s="14">
        <v>16</v>
      </c>
      <c r="G145" s="15">
        <v>0.05</v>
      </c>
      <c r="H145" s="16">
        <v>45650</v>
      </c>
      <c r="I145" s="13">
        <v>165.97</v>
      </c>
      <c r="J145" s="17">
        <f t="shared" si="10"/>
        <v>4418.2800000000007</v>
      </c>
      <c r="K145" s="26">
        <f t="shared" ca="1" si="11"/>
        <v>46287.008232175926</v>
      </c>
    </row>
    <row r="146" spans="1:11" x14ac:dyDescent="0.25">
      <c r="A146" s="11" t="s">
        <v>63</v>
      </c>
      <c r="B146" s="12" t="s">
        <v>22</v>
      </c>
      <c r="C146" s="12" t="s">
        <v>15</v>
      </c>
      <c r="D146" s="12" t="s">
        <v>6</v>
      </c>
      <c r="E146" s="13">
        <v>1589.42</v>
      </c>
      <c r="F146" s="14">
        <v>6</v>
      </c>
      <c r="G146" s="15">
        <v>0.15</v>
      </c>
      <c r="H146" s="16">
        <v>45651</v>
      </c>
      <c r="I146" s="13">
        <v>675.5</v>
      </c>
      <c r="J146" s="17">
        <f t="shared" si="10"/>
        <v>7813.59</v>
      </c>
      <c r="K146" s="26">
        <f t="shared" ca="1" si="11"/>
        <v>46287.008232175926</v>
      </c>
    </row>
    <row r="147" spans="1:11" x14ac:dyDescent="0.25">
      <c r="A147" s="11" t="s">
        <v>19</v>
      </c>
      <c r="B147" s="12" t="s">
        <v>62</v>
      </c>
      <c r="C147" s="12" t="s">
        <v>15</v>
      </c>
      <c r="D147" s="12" t="s">
        <v>6</v>
      </c>
      <c r="E147" s="13">
        <v>336.66</v>
      </c>
      <c r="F147" s="14">
        <v>13</v>
      </c>
      <c r="G147" s="15">
        <v>0.2</v>
      </c>
      <c r="H147" s="16">
        <v>45651</v>
      </c>
      <c r="I147" s="13">
        <v>134.66</v>
      </c>
      <c r="J147" s="17">
        <f t="shared" si="10"/>
        <v>6549.55</v>
      </c>
      <c r="K147" s="26">
        <f t="shared" ca="1" si="11"/>
        <v>46287.008232175926</v>
      </c>
    </row>
    <row r="148" spans="1:11" x14ac:dyDescent="0.25">
      <c r="A148" s="11" t="s">
        <v>40</v>
      </c>
      <c r="B148" s="12" t="s">
        <v>14</v>
      </c>
      <c r="C148" s="12" t="s">
        <v>2</v>
      </c>
      <c r="D148" s="12" t="s">
        <v>3</v>
      </c>
      <c r="E148" s="13">
        <v>1353.79</v>
      </c>
      <c r="F148" s="14">
        <v>14</v>
      </c>
      <c r="G148" s="15">
        <v>0.1</v>
      </c>
      <c r="H148" s="16">
        <v>45656</v>
      </c>
      <c r="I148" s="13">
        <v>487.36</v>
      </c>
      <c r="J148" s="17">
        <f t="shared" si="10"/>
        <v>4418.2800000000007</v>
      </c>
      <c r="K148" s="26">
        <f t="shared" ca="1" si="11"/>
        <v>46287.008232175926</v>
      </c>
    </row>
    <row r="149" spans="1:11" x14ac:dyDescent="0.25">
      <c r="A149" s="11" t="s">
        <v>54</v>
      </c>
      <c r="B149" s="12" t="s">
        <v>60</v>
      </c>
      <c r="C149" s="12" t="s">
        <v>25</v>
      </c>
      <c r="D149" s="12" t="s">
        <v>6</v>
      </c>
      <c r="E149" s="13">
        <v>662.61</v>
      </c>
      <c r="F149" s="14">
        <v>11</v>
      </c>
      <c r="G149" s="15">
        <v>0.05</v>
      </c>
      <c r="H149" s="16">
        <v>45658</v>
      </c>
      <c r="I149" s="13">
        <v>314.74</v>
      </c>
      <c r="J149" s="17">
        <f t="shared" si="10"/>
        <v>3762.2900000000004</v>
      </c>
      <c r="K149" s="26">
        <f t="shared" ca="1" si="11"/>
        <v>46287.008232175926</v>
      </c>
    </row>
    <row r="150" spans="1:11" x14ac:dyDescent="0.25">
      <c r="A150" s="11" t="s">
        <v>43</v>
      </c>
      <c r="B150" s="12" t="s">
        <v>39</v>
      </c>
      <c r="C150" s="12" t="s">
        <v>15</v>
      </c>
      <c r="D150" s="12" t="s">
        <v>30</v>
      </c>
      <c r="E150" s="13">
        <v>309.42</v>
      </c>
      <c r="F150" s="14">
        <v>1</v>
      </c>
      <c r="G150" s="15">
        <v>0.2</v>
      </c>
      <c r="H150" s="16">
        <v>45658</v>
      </c>
      <c r="I150" s="13">
        <v>111.39</v>
      </c>
      <c r="J150" s="17">
        <f t="shared" si="10"/>
        <v>10293.870000000001</v>
      </c>
      <c r="K150" s="26">
        <f t="shared" ca="1" si="11"/>
        <v>46287.008232175926</v>
      </c>
    </row>
    <row r="151" spans="1:11" x14ac:dyDescent="0.25">
      <c r="A151" s="11" t="s">
        <v>54</v>
      </c>
      <c r="B151" s="12" t="s">
        <v>20</v>
      </c>
      <c r="C151" s="12" t="s">
        <v>15</v>
      </c>
      <c r="D151" s="12" t="s">
        <v>3</v>
      </c>
      <c r="E151" s="13">
        <v>884.63</v>
      </c>
      <c r="F151" s="14">
        <v>18</v>
      </c>
      <c r="G151" s="15">
        <v>0.1</v>
      </c>
      <c r="H151" s="16">
        <v>45659</v>
      </c>
      <c r="I151" s="13">
        <v>318.47000000000003</v>
      </c>
      <c r="J151" s="17">
        <f t="shared" si="10"/>
        <v>3762.2900000000004</v>
      </c>
      <c r="K151" s="26">
        <f t="shared" ca="1" si="11"/>
        <v>46287.008232175926</v>
      </c>
    </row>
    <row r="152" spans="1:11" x14ac:dyDescent="0.25">
      <c r="A152" s="11" t="s">
        <v>43</v>
      </c>
      <c r="B152" s="12" t="s">
        <v>14</v>
      </c>
      <c r="C152" s="12" t="s">
        <v>25</v>
      </c>
      <c r="D152" s="12" t="s">
        <v>30</v>
      </c>
      <c r="E152" s="13">
        <v>745.05</v>
      </c>
      <c r="F152" s="14">
        <v>10</v>
      </c>
      <c r="G152" s="15">
        <v>0.1</v>
      </c>
      <c r="H152" s="16">
        <v>45660</v>
      </c>
      <c r="I152" s="13">
        <v>301.75</v>
      </c>
      <c r="J152" s="17">
        <f t="shared" si="10"/>
        <v>10293.870000000001</v>
      </c>
      <c r="K152" s="26">
        <f t="shared" ca="1" si="11"/>
        <v>46287.008232175926</v>
      </c>
    </row>
    <row r="153" spans="1:11" x14ac:dyDescent="0.25">
      <c r="A153" s="11" t="s">
        <v>51</v>
      </c>
      <c r="B153" s="12" t="s">
        <v>8</v>
      </c>
      <c r="C153" s="12" t="s">
        <v>11</v>
      </c>
      <c r="D153" s="12" t="s">
        <v>6</v>
      </c>
      <c r="E153" s="13">
        <v>870.23</v>
      </c>
      <c r="F153" s="14">
        <v>5</v>
      </c>
      <c r="G153" s="15">
        <v>0.05</v>
      </c>
      <c r="H153" s="16">
        <v>45660</v>
      </c>
      <c r="I153" s="13">
        <v>413.36</v>
      </c>
      <c r="J153" s="17">
        <f t="shared" si="10"/>
        <v>3369.17</v>
      </c>
      <c r="K153" s="26">
        <f t="shared" ca="1" si="11"/>
        <v>46287.008232175926</v>
      </c>
    </row>
    <row r="154" spans="1:11" x14ac:dyDescent="0.25">
      <c r="A154" s="11" t="s">
        <v>26</v>
      </c>
      <c r="B154" s="12" t="s">
        <v>20</v>
      </c>
      <c r="C154" s="12" t="s">
        <v>2</v>
      </c>
      <c r="D154" s="12" t="s">
        <v>18</v>
      </c>
      <c r="E154" s="13">
        <v>862.19</v>
      </c>
      <c r="F154" s="14">
        <v>18</v>
      </c>
      <c r="G154" s="15">
        <v>0.05</v>
      </c>
      <c r="H154" s="16">
        <v>45663</v>
      </c>
      <c r="I154" s="13">
        <v>286.68</v>
      </c>
      <c r="J154" s="17">
        <f t="shared" si="10"/>
        <v>4259.22</v>
      </c>
      <c r="K154" s="26">
        <f t="shared" ca="1" si="11"/>
        <v>46287.008232175926</v>
      </c>
    </row>
    <row r="155" spans="1:11" x14ac:dyDescent="0.25">
      <c r="A155" s="11" t="s">
        <v>64</v>
      </c>
      <c r="B155" s="12" t="s">
        <v>50</v>
      </c>
      <c r="C155" s="12" t="s">
        <v>15</v>
      </c>
      <c r="D155" s="12" t="s">
        <v>6</v>
      </c>
      <c r="E155" s="13">
        <v>1171.18</v>
      </c>
      <c r="F155" s="14">
        <v>19</v>
      </c>
      <c r="G155" s="15">
        <v>0.05</v>
      </c>
      <c r="H155" s="16">
        <v>45667</v>
      </c>
      <c r="I155" s="13">
        <v>556.30999999999995</v>
      </c>
      <c r="J155" s="17">
        <f t="shared" si="10"/>
        <v>4162.4400000000005</v>
      </c>
      <c r="K155" s="26">
        <f t="shared" ca="1" si="11"/>
        <v>46287.008232175926</v>
      </c>
    </row>
    <row r="156" spans="1:11" x14ac:dyDescent="0.25">
      <c r="A156" s="11" t="s">
        <v>49</v>
      </c>
      <c r="B156" s="12" t="s">
        <v>5</v>
      </c>
      <c r="C156" s="12" t="s">
        <v>11</v>
      </c>
      <c r="D156" s="12" t="s">
        <v>18</v>
      </c>
      <c r="E156" s="13">
        <v>1054.56</v>
      </c>
      <c r="F156" s="14">
        <v>11</v>
      </c>
      <c r="G156" s="15">
        <v>0.1</v>
      </c>
      <c r="H156" s="16">
        <v>45669</v>
      </c>
      <c r="I156" s="13">
        <v>332.19</v>
      </c>
      <c r="J156" s="17">
        <f t="shared" si="10"/>
        <v>11611.060000000001</v>
      </c>
      <c r="K156" s="26">
        <f t="shared" ca="1" si="11"/>
        <v>46287.008232175926</v>
      </c>
    </row>
    <row r="157" spans="1:11" x14ac:dyDescent="0.25">
      <c r="A157" s="11" t="s">
        <v>49</v>
      </c>
      <c r="B157" s="12" t="s">
        <v>14</v>
      </c>
      <c r="C157" s="12" t="s">
        <v>15</v>
      </c>
      <c r="D157" s="12" t="s">
        <v>12</v>
      </c>
      <c r="E157" s="13">
        <v>1681.21</v>
      </c>
      <c r="F157" s="14">
        <v>5</v>
      </c>
      <c r="G157" s="15">
        <v>0.2</v>
      </c>
      <c r="H157" s="16">
        <v>45670</v>
      </c>
      <c r="I157" s="13">
        <v>336.24</v>
      </c>
      <c r="J157" s="17">
        <f t="shared" si="10"/>
        <v>11611.060000000001</v>
      </c>
      <c r="K157" s="26">
        <f t="shared" ca="1" si="11"/>
        <v>46287.008232175926</v>
      </c>
    </row>
    <row r="158" spans="1:11" x14ac:dyDescent="0.25">
      <c r="A158" s="11" t="s">
        <v>49</v>
      </c>
      <c r="B158" s="12" t="s">
        <v>27</v>
      </c>
      <c r="C158" s="12" t="s">
        <v>2</v>
      </c>
      <c r="D158" s="12" t="s">
        <v>6</v>
      </c>
      <c r="E158" s="13">
        <v>379.77</v>
      </c>
      <c r="F158" s="14">
        <v>9</v>
      </c>
      <c r="G158" s="15">
        <v>0.05</v>
      </c>
      <c r="H158" s="16">
        <v>45673</v>
      </c>
      <c r="I158" s="13">
        <v>180.39</v>
      </c>
      <c r="J158" s="17">
        <f t="shared" si="10"/>
        <v>11611.060000000001</v>
      </c>
      <c r="K158" s="26">
        <f t="shared" ca="1" si="11"/>
        <v>46287.008232175926</v>
      </c>
    </row>
    <row r="159" spans="1:11" x14ac:dyDescent="0.25">
      <c r="A159" s="11" t="s">
        <v>35</v>
      </c>
      <c r="B159" s="12" t="s">
        <v>36</v>
      </c>
      <c r="C159" s="12" t="s">
        <v>25</v>
      </c>
      <c r="D159" s="12" t="s">
        <v>6</v>
      </c>
      <c r="E159" s="13">
        <v>1076.33</v>
      </c>
      <c r="F159" s="14">
        <v>2</v>
      </c>
      <c r="G159" s="15">
        <v>0.1</v>
      </c>
      <c r="H159" s="16">
        <v>45674</v>
      </c>
      <c r="I159" s="13">
        <v>484.35</v>
      </c>
      <c r="J159" s="17">
        <f t="shared" si="10"/>
        <v>9760.7999999999993</v>
      </c>
      <c r="K159" s="26">
        <f t="shared" ca="1" si="11"/>
        <v>46287.008232175926</v>
      </c>
    </row>
    <row r="160" spans="1:11" x14ac:dyDescent="0.25">
      <c r="A160" s="11" t="s">
        <v>35</v>
      </c>
      <c r="B160" s="12" t="s">
        <v>22</v>
      </c>
      <c r="C160" s="12" t="s">
        <v>25</v>
      </c>
      <c r="D160" s="12" t="s">
        <v>30</v>
      </c>
      <c r="E160" s="13">
        <v>1250.71</v>
      </c>
      <c r="F160" s="14">
        <v>7</v>
      </c>
      <c r="G160" s="15">
        <v>0</v>
      </c>
      <c r="H160" s="16">
        <v>45674</v>
      </c>
      <c r="I160" s="13">
        <v>562.82000000000005</v>
      </c>
      <c r="J160" s="17">
        <f t="shared" si="10"/>
        <v>9760.7999999999993</v>
      </c>
      <c r="K160" s="26">
        <f t="shared" ca="1" si="11"/>
        <v>46287.008232175926</v>
      </c>
    </row>
    <row r="161" spans="1:11" x14ac:dyDescent="0.25">
      <c r="A161" s="11" t="s">
        <v>31</v>
      </c>
      <c r="B161" s="12" t="s">
        <v>8</v>
      </c>
      <c r="C161" s="12" t="s">
        <v>11</v>
      </c>
      <c r="D161" s="12" t="s">
        <v>6</v>
      </c>
      <c r="E161" s="13">
        <v>1118.3399999999999</v>
      </c>
      <c r="F161" s="14">
        <v>6</v>
      </c>
      <c r="G161" s="15">
        <v>0.2</v>
      </c>
      <c r="H161" s="16">
        <v>45674</v>
      </c>
      <c r="I161" s="13">
        <v>447.34</v>
      </c>
      <c r="J161" s="17">
        <f t="shared" si="10"/>
        <v>5913.68</v>
      </c>
      <c r="K161" s="26">
        <f t="shared" ca="1" si="11"/>
        <v>46287.008232175926</v>
      </c>
    </row>
    <row r="162" spans="1:11" x14ac:dyDescent="0.25">
      <c r="A162" s="11" t="s">
        <v>61</v>
      </c>
      <c r="B162" s="12" t="s">
        <v>44</v>
      </c>
      <c r="C162" s="12" t="s">
        <v>15</v>
      </c>
      <c r="D162" s="12" t="s">
        <v>6</v>
      </c>
      <c r="E162" s="13">
        <v>1622.62</v>
      </c>
      <c r="F162" s="14">
        <v>12</v>
      </c>
      <c r="G162" s="15">
        <v>0.2</v>
      </c>
      <c r="H162" s="16">
        <v>45677</v>
      </c>
      <c r="I162" s="13">
        <v>649.04999999999995</v>
      </c>
      <c r="J162" s="17">
        <f t="shared" ref="J162:J193" si="12">SUMIF($A$2:$A$201,A162,$E$2:$E$201)</f>
        <v>7583.1299999999992</v>
      </c>
      <c r="K162" s="26">
        <f t="shared" ref="K162:K193" ca="1" si="13">NOW()</f>
        <v>46287.008232175926</v>
      </c>
    </row>
    <row r="163" spans="1:11" x14ac:dyDescent="0.25">
      <c r="A163" s="11" t="s">
        <v>66</v>
      </c>
      <c r="B163" s="12" t="s">
        <v>39</v>
      </c>
      <c r="C163" s="12" t="s">
        <v>15</v>
      </c>
      <c r="D163" s="12" t="s">
        <v>3</v>
      </c>
      <c r="E163" s="13">
        <v>640.64</v>
      </c>
      <c r="F163" s="14">
        <v>11</v>
      </c>
      <c r="G163" s="15">
        <v>0.2</v>
      </c>
      <c r="H163" s="16">
        <v>45678</v>
      </c>
      <c r="I163" s="13">
        <v>205</v>
      </c>
      <c r="J163" s="17">
        <f t="shared" si="12"/>
        <v>4951.8899999999994</v>
      </c>
      <c r="K163" s="26">
        <f t="shared" ca="1" si="13"/>
        <v>46287.008232175926</v>
      </c>
    </row>
    <row r="164" spans="1:11" x14ac:dyDescent="0.25">
      <c r="A164" s="11" t="s">
        <v>13</v>
      </c>
      <c r="B164" s="12" t="s">
        <v>34</v>
      </c>
      <c r="C164" s="12" t="s">
        <v>2</v>
      </c>
      <c r="D164" s="12" t="s">
        <v>6</v>
      </c>
      <c r="E164" s="13">
        <v>585.16</v>
      </c>
      <c r="F164" s="14">
        <v>17</v>
      </c>
      <c r="G164" s="15">
        <v>0.1</v>
      </c>
      <c r="H164" s="16">
        <v>45684</v>
      </c>
      <c r="I164" s="13">
        <v>263.32</v>
      </c>
      <c r="J164" s="17">
        <f t="shared" si="12"/>
        <v>7928.71</v>
      </c>
      <c r="K164" s="26">
        <f t="shared" ca="1" si="13"/>
        <v>46287.008232175926</v>
      </c>
    </row>
    <row r="165" spans="1:11" x14ac:dyDescent="0.25">
      <c r="A165" s="11" t="s">
        <v>13</v>
      </c>
      <c r="B165" s="12" t="s">
        <v>22</v>
      </c>
      <c r="C165" s="12" t="s">
        <v>9</v>
      </c>
      <c r="D165" s="12" t="s">
        <v>6</v>
      </c>
      <c r="E165" s="13">
        <v>1109.98</v>
      </c>
      <c r="F165" s="14">
        <v>5</v>
      </c>
      <c r="G165" s="15">
        <v>0.2</v>
      </c>
      <c r="H165" s="16">
        <v>45690</v>
      </c>
      <c r="I165" s="13">
        <v>443.99</v>
      </c>
      <c r="J165" s="17">
        <f t="shared" si="12"/>
        <v>7928.71</v>
      </c>
      <c r="K165" s="26">
        <f t="shared" ca="1" si="13"/>
        <v>46287.008232175926</v>
      </c>
    </row>
    <row r="166" spans="1:11" x14ac:dyDescent="0.25">
      <c r="A166" s="11" t="s">
        <v>49</v>
      </c>
      <c r="B166" s="12" t="s">
        <v>36</v>
      </c>
      <c r="C166" s="12" t="s">
        <v>9</v>
      </c>
      <c r="D166" s="12" t="s">
        <v>3</v>
      </c>
      <c r="E166" s="13">
        <v>1098.08</v>
      </c>
      <c r="F166" s="14">
        <v>9</v>
      </c>
      <c r="G166" s="15">
        <v>0.1</v>
      </c>
      <c r="H166" s="16">
        <v>45692</v>
      </c>
      <c r="I166" s="13">
        <v>395.31</v>
      </c>
      <c r="J166" s="17">
        <f t="shared" si="12"/>
        <v>11611.060000000001</v>
      </c>
      <c r="K166" s="26">
        <f t="shared" ca="1" si="13"/>
        <v>46287.008232175926</v>
      </c>
    </row>
    <row r="167" spans="1:11" x14ac:dyDescent="0.25">
      <c r="A167" s="11" t="s">
        <v>56</v>
      </c>
      <c r="B167" s="12" t="s">
        <v>39</v>
      </c>
      <c r="C167" s="12" t="s">
        <v>2</v>
      </c>
      <c r="D167" s="12" t="s">
        <v>30</v>
      </c>
      <c r="E167" s="13">
        <v>827.25</v>
      </c>
      <c r="F167" s="14">
        <v>7</v>
      </c>
      <c r="G167" s="15">
        <v>0.1</v>
      </c>
      <c r="H167" s="16">
        <v>45693</v>
      </c>
      <c r="I167" s="13">
        <v>335.04</v>
      </c>
      <c r="J167" s="17">
        <f t="shared" si="12"/>
        <v>6481.43</v>
      </c>
      <c r="K167" s="26">
        <f t="shared" ca="1" si="13"/>
        <v>46287.008232175926</v>
      </c>
    </row>
    <row r="168" spans="1:11" x14ac:dyDescent="0.25">
      <c r="A168" s="11" t="s">
        <v>61</v>
      </c>
      <c r="B168" s="12" t="s">
        <v>20</v>
      </c>
      <c r="C168" s="12" t="s">
        <v>25</v>
      </c>
      <c r="D168" s="12" t="s">
        <v>6</v>
      </c>
      <c r="E168" s="13">
        <v>741.88</v>
      </c>
      <c r="F168" s="14">
        <v>16</v>
      </c>
      <c r="G168" s="15">
        <v>0.1</v>
      </c>
      <c r="H168" s="16">
        <v>45695</v>
      </c>
      <c r="I168" s="13">
        <v>333.85</v>
      </c>
      <c r="J168" s="17">
        <f t="shared" si="12"/>
        <v>7583.1299999999992</v>
      </c>
      <c r="K168" s="26">
        <f t="shared" ca="1" si="13"/>
        <v>46287.008232175926</v>
      </c>
    </row>
    <row r="169" spans="1:11" x14ac:dyDescent="0.25">
      <c r="A169" s="11" t="s">
        <v>63</v>
      </c>
      <c r="B169" s="12" t="s">
        <v>1</v>
      </c>
      <c r="C169" s="12" t="s">
        <v>9</v>
      </c>
      <c r="D169" s="12" t="s">
        <v>30</v>
      </c>
      <c r="E169" s="13">
        <v>1311.26</v>
      </c>
      <c r="F169" s="14">
        <v>6</v>
      </c>
      <c r="G169" s="15">
        <v>0.1</v>
      </c>
      <c r="H169" s="16">
        <v>45698</v>
      </c>
      <c r="I169" s="13">
        <v>531.05999999999995</v>
      </c>
      <c r="J169" s="17">
        <f t="shared" si="12"/>
        <v>7813.59</v>
      </c>
      <c r="K169" s="26">
        <f t="shared" ca="1" si="13"/>
        <v>46287.008232175926</v>
      </c>
    </row>
    <row r="170" spans="1:11" x14ac:dyDescent="0.25">
      <c r="A170" s="11" t="s">
        <v>63</v>
      </c>
      <c r="B170" s="12" t="s">
        <v>22</v>
      </c>
      <c r="C170" s="12" t="s">
        <v>11</v>
      </c>
      <c r="D170" s="12" t="s">
        <v>30</v>
      </c>
      <c r="E170" s="13">
        <v>573.32000000000005</v>
      </c>
      <c r="F170" s="14">
        <v>19</v>
      </c>
      <c r="G170" s="15">
        <v>0.1</v>
      </c>
      <c r="H170" s="16">
        <v>45703</v>
      </c>
      <c r="I170" s="13">
        <v>232.19</v>
      </c>
      <c r="J170" s="17">
        <f t="shared" si="12"/>
        <v>7813.59</v>
      </c>
      <c r="K170" s="26">
        <f t="shared" ca="1" si="13"/>
        <v>46287.008232175926</v>
      </c>
    </row>
    <row r="171" spans="1:11" x14ac:dyDescent="0.25">
      <c r="A171" s="11" t="s">
        <v>43</v>
      </c>
      <c r="B171" s="12" t="s">
        <v>14</v>
      </c>
      <c r="C171" s="12" t="s">
        <v>2</v>
      </c>
      <c r="D171" s="12" t="s">
        <v>12</v>
      </c>
      <c r="E171" s="13">
        <v>1115.22</v>
      </c>
      <c r="F171" s="14">
        <v>14</v>
      </c>
      <c r="G171" s="15">
        <v>0.2</v>
      </c>
      <c r="H171" s="16">
        <v>45705</v>
      </c>
      <c r="I171" s="13">
        <v>223.04</v>
      </c>
      <c r="J171" s="17">
        <f t="shared" si="12"/>
        <v>10293.870000000001</v>
      </c>
      <c r="K171" s="26">
        <f t="shared" ca="1" si="13"/>
        <v>46287.008232175926</v>
      </c>
    </row>
    <row r="172" spans="1:11" x14ac:dyDescent="0.25">
      <c r="A172" s="11" t="s">
        <v>4</v>
      </c>
      <c r="B172" s="12" t="s">
        <v>36</v>
      </c>
      <c r="C172" s="12" t="s">
        <v>15</v>
      </c>
      <c r="D172" s="12" t="s">
        <v>6</v>
      </c>
      <c r="E172" s="13">
        <v>845.84</v>
      </c>
      <c r="F172" s="14">
        <v>4</v>
      </c>
      <c r="G172" s="15">
        <v>0</v>
      </c>
      <c r="H172" s="16">
        <v>45707</v>
      </c>
      <c r="I172" s="13">
        <v>422.92</v>
      </c>
      <c r="J172" s="17">
        <f t="shared" si="12"/>
        <v>8339</v>
      </c>
      <c r="K172" s="26">
        <f t="shared" ca="1" si="13"/>
        <v>46287.008232175926</v>
      </c>
    </row>
    <row r="173" spans="1:11" x14ac:dyDescent="0.25">
      <c r="A173" s="11" t="s">
        <v>21</v>
      </c>
      <c r="B173" s="12" t="s">
        <v>46</v>
      </c>
      <c r="C173" s="12" t="s">
        <v>2</v>
      </c>
      <c r="D173" s="12" t="s">
        <v>12</v>
      </c>
      <c r="E173" s="13">
        <v>1029.8</v>
      </c>
      <c r="F173" s="14">
        <v>3</v>
      </c>
      <c r="G173" s="15">
        <v>0</v>
      </c>
      <c r="H173" s="16">
        <v>45708</v>
      </c>
      <c r="I173" s="13">
        <v>257.45</v>
      </c>
      <c r="J173" s="17">
        <f t="shared" si="12"/>
        <v>9371.81</v>
      </c>
      <c r="K173" s="26">
        <f t="shared" ca="1" si="13"/>
        <v>46287.008232175926</v>
      </c>
    </row>
    <row r="174" spans="1:11" x14ac:dyDescent="0.25">
      <c r="A174" s="11" t="s">
        <v>23</v>
      </c>
      <c r="B174" s="12" t="s">
        <v>22</v>
      </c>
      <c r="C174" s="12" t="s">
        <v>15</v>
      </c>
      <c r="D174" s="12" t="s">
        <v>3</v>
      </c>
      <c r="E174" s="13">
        <v>1189.83</v>
      </c>
      <c r="F174" s="14">
        <v>2</v>
      </c>
      <c r="G174" s="15">
        <v>0.2</v>
      </c>
      <c r="H174" s="16">
        <v>45709</v>
      </c>
      <c r="I174" s="13">
        <v>380.75</v>
      </c>
      <c r="J174" s="17">
        <f t="shared" si="12"/>
        <v>6505.2</v>
      </c>
      <c r="K174" s="26">
        <f t="shared" ca="1" si="13"/>
        <v>46287.008232175926</v>
      </c>
    </row>
    <row r="175" spans="1:11" x14ac:dyDescent="0.25">
      <c r="A175" s="11" t="s">
        <v>58</v>
      </c>
      <c r="B175" s="12" t="s">
        <v>34</v>
      </c>
      <c r="C175" s="12" t="s">
        <v>11</v>
      </c>
      <c r="D175" s="12" t="s">
        <v>3</v>
      </c>
      <c r="E175" s="13">
        <v>704.28</v>
      </c>
      <c r="F175" s="14">
        <v>15</v>
      </c>
      <c r="G175" s="15">
        <v>0.2</v>
      </c>
      <c r="H175" s="16">
        <v>45712</v>
      </c>
      <c r="I175" s="13">
        <v>225.37</v>
      </c>
      <c r="J175" s="17">
        <f t="shared" si="12"/>
        <v>8490.18</v>
      </c>
      <c r="K175" s="26">
        <f t="shared" ca="1" si="13"/>
        <v>46287.008232175926</v>
      </c>
    </row>
    <row r="176" spans="1:11" x14ac:dyDescent="0.25">
      <c r="A176" s="11" t="s">
        <v>56</v>
      </c>
      <c r="B176" s="12" t="s">
        <v>38</v>
      </c>
      <c r="C176" s="12" t="s">
        <v>25</v>
      </c>
      <c r="D176" s="12" t="s">
        <v>30</v>
      </c>
      <c r="E176" s="13">
        <v>1618.22</v>
      </c>
      <c r="F176" s="14">
        <v>12</v>
      </c>
      <c r="G176" s="15">
        <v>0.2</v>
      </c>
      <c r="H176" s="16">
        <v>45712</v>
      </c>
      <c r="I176" s="13">
        <v>582.55999999999995</v>
      </c>
      <c r="J176" s="17">
        <f t="shared" si="12"/>
        <v>6481.43</v>
      </c>
      <c r="K176" s="26">
        <f t="shared" ca="1" si="13"/>
        <v>46287.008232175926</v>
      </c>
    </row>
    <row r="177" spans="1:11" x14ac:dyDescent="0.25">
      <c r="A177" s="11" t="s">
        <v>64</v>
      </c>
      <c r="B177" s="12" t="s">
        <v>44</v>
      </c>
      <c r="C177" s="12" t="s">
        <v>25</v>
      </c>
      <c r="D177" s="12" t="s">
        <v>3</v>
      </c>
      <c r="E177" s="13">
        <v>1014.43</v>
      </c>
      <c r="F177" s="14">
        <v>2</v>
      </c>
      <c r="G177" s="15">
        <v>0.15</v>
      </c>
      <c r="H177" s="16">
        <v>45713</v>
      </c>
      <c r="I177" s="13">
        <v>344.91</v>
      </c>
      <c r="J177" s="17">
        <f t="shared" si="12"/>
        <v>4162.4400000000005</v>
      </c>
      <c r="K177" s="26">
        <f t="shared" ca="1" si="13"/>
        <v>46287.008232175926</v>
      </c>
    </row>
    <row r="178" spans="1:11" x14ac:dyDescent="0.25">
      <c r="A178" s="11" t="s">
        <v>66</v>
      </c>
      <c r="B178" s="12" t="s">
        <v>22</v>
      </c>
      <c r="C178" s="12" t="s">
        <v>25</v>
      </c>
      <c r="D178" s="12" t="s">
        <v>6</v>
      </c>
      <c r="E178" s="13">
        <v>826.97</v>
      </c>
      <c r="F178" s="14">
        <v>18</v>
      </c>
      <c r="G178" s="15">
        <v>0.2</v>
      </c>
      <c r="H178" s="16">
        <v>45715</v>
      </c>
      <c r="I178" s="13">
        <v>330.79</v>
      </c>
      <c r="J178" s="17">
        <f t="shared" si="12"/>
        <v>4951.8899999999994</v>
      </c>
      <c r="K178" s="26">
        <f t="shared" ca="1" si="13"/>
        <v>46287.008232175926</v>
      </c>
    </row>
    <row r="179" spans="1:11" x14ac:dyDescent="0.25">
      <c r="A179" s="11" t="s">
        <v>7</v>
      </c>
      <c r="B179" s="12" t="s">
        <v>22</v>
      </c>
      <c r="C179" s="12" t="s">
        <v>25</v>
      </c>
      <c r="D179" s="12" t="s">
        <v>6</v>
      </c>
      <c r="E179" s="13">
        <v>1022.23</v>
      </c>
      <c r="F179" s="14">
        <v>8</v>
      </c>
      <c r="G179" s="15">
        <v>0.1</v>
      </c>
      <c r="H179" s="16">
        <v>45717</v>
      </c>
      <c r="I179" s="13">
        <v>460</v>
      </c>
      <c r="J179" s="17">
        <f t="shared" si="12"/>
        <v>3419.2</v>
      </c>
      <c r="K179" s="26">
        <f t="shared" ca="1" si="13"/>
        <v>46287.008232175926</v>
      </c>
    </row>
    <row r="180" spans="1:11" x14ac:dyDescent="0.25">
      <c r="A180" s="11" t="s">
        <v>63</v>
      </c>
      <c r="B180" s="12" t="s">
        <v>20</v>
      </c>
      <c r="C180" s="12" t="s">
        <v>9</v>
      </c>
      <c r="D180" s="12" t="s">
        <v>3</v>
      </c>
      <c r="E180" s="13">
        <v>1099.69</v>
      </c>
      <c r="F180" s="14">
        <v>6</v>
      </c>
      <c r="G180" s="15">
        <v>0</v>
      </c>
      <c r="H180" s="16">
        <v>45718</v>
      </c>
      <c r="I180" s="13">
        <v>439.88</v>
      </c>
      <c r="J180" s="17">
        <f t="shared" si="12"/>
        <v>7813.59</v>
      </c>
      <c r="K180" s="26">
        <f t="shared" ca="1" si="13"/>
        <v>46287.008232175926</v>
      </c>
    </row>
    <row r="181" spans="1:11" x14ac:dyDescent="0.25">
      <c r="A181" s="11" t="s">
        <v>43</v>
      </c>
      <c r="B181" s="12" t="s">
        <v>55</v>
      </c>
      <c r="C181" s="12" t="s">
        <v>15</v>
      </c>
      <c r="D181" s="12" t="s">
        <v>3</v>
      </c>
      <c r="E181" s="13">
        <v>710.52</v>
      </c>
      <c r="F181" s="14">
        <v>8</v>
      </c>
      <c r="G181" s="15">
        <v>0.1</v>
      </c>
      <c r="H181" s="16">
        <v>45721</v>
      </c>
      <c r="I181" s="13">
        <v>255.79</v>
      </c>
      <c r="J181" s="17">
        <f t="shared" si="12"/>
        <v>10293.870000000001</v>
      </c>
      <c r="K181" s="26">
        <f t="shared" ca="1" si="13"/>
        <v>46287.008232175926</v>
      </c>
    </row>
    <row r="182" spans="1:11" x14ac:dyDescent="0.25">
      <c r="A182" s="11" t="s">
        <v>43</v>
      </c>
      <c r="B182" s="12" t="s">
        <v>50</v>
      </c>
      <c r="C182" s="12" t="s">
        <v>15</v>
      </c>
      <c r="D182" s="12" t="s">
        <v>3</v>
      </c>
      <c r="E182" s="13">
        <v>499.18</v>
      </c>
      <c r="F182" s="14">
        <v>15</v>
      </c>
      <c r="G182" s="15">
        <v>0.2</v>
      </c>
      <c r="H182" s="16">
        <v>45724</v>
      </c>
      <c r="I182" s="13">
        <v>159.74</v>
      </c>
      <c r="J182" s="17">
        <f t="shared" si="12"/>
        <v>10293.870000000001</v>
      </c>
      <c r="K182" s="26">
        <f t="shared" ca="1" si="13"/>
        <v>46287.008232175926</v>
      </c>
    </row>
    <row r="183" spans="1:11" x14ac:dyDescent="0.25">
      <c r="A183" s="11" t="s">
        <v>28</v>
      </c>
      <c r="B183" s="12" t="s">
        <v>29</v>
      </c>
      <c r="C183" s="12" t="s">
        <v>11</v>
      </c>
      <c r="D183" s="12" t="s">
        <v>3</v>
      </c>
      <c r="E183" s="13">
        <v>1064.19</v>
      </c>
      <c r="F183" s="14">
        <v>18</v>
      </c>
      <c r="G183" s="15">
        <v>0.05</v>
      </c>
      <c r="H183" s="16">
        <v>45725</v>
      </c>
      <c r="I183" s="13">
        <v>404.39</v>
      </c>
      <c r="J183" s="17">
        <f t="shared" si="12"/>
        <v>6729.8899999999994</v>
      </c>
      <c r="K183" s="26">
        <f t="shared" ca="1" si="13"/>
        <v>46287.008232175926</v>
      </c>
    </row>
    <row r="184" spans="1:11" x14ac:dyDescent="0.25">
      <c r="A184" s="11" t="s">
        <v>58</v>
      </c>
      <c r="B184" s="12" t="s">
        <v>29</v>
      </c>
      <c r="C184" s="12" t="s">
        <v>9</v>
      </c>
      <c r="D184" s="12" t="s">
        <v>30</v>
      </c>
      <c r="E184" s="13">
        <v>438.76</v>
      </c>
      <c r="F184" s="14">
        <v>18</v>
      </c>
      <c r="G184" s="15">
        <v>0.05</v>
      </c>
      <c r="H184" s="16">
        <v>45726</v>
      </c>
      <c r="I184" s="13">
        <v>187.57</v>
      </c>
      <c r="J184" s="17">
        <f t="shared" si="12"/>
        <v>8490.18</v>
      </c>
      <c r="K184" s="26">
        <f t="shared" ca="1" si="13"/>
        <v>46287.008232175926</v>
      </c>
    </row>
    <row r="185" spans="1:11" x14ac:dyDescent="0.25">
      <c r="A185" s="11" t="s">
        <v>32</v>
      </c>
      <c r="B185" s="12" t="s">
        <v>46</v>
      </c>
      <c r="C185" s="12" t="s">
        <v>2</v>
      </c>
      <c r="D185" s="12" t="s">
        <v>6</v>
      </c>
      <c r="E185" s="13">
        <v>864.98</v>
      </c>
      <c r="F185" s="14">
        <v>2</v>
      </c>
      <c r="G185" s="15">
        <v>0.05</v>
      </c>
      <c r="H185" s="16">
        <v>45727</v>
      </c>
      <c r="I185" s="13">
        <v>410.87</v>
      </c>
      <c r="J185" s="17">
        <f t="shared" si="12"/>
        <v>5779.05</v>
      </c>
      <c r="K185" s="26">
        <f t="shared" ca="1" si="13"/>
        <v>46287.008232175926</v>
      </c>
    </row>
    <row r="186" spans="1:11" x14ac:dyDescent="0.25">
      <c r="A186" s="11" t="s">
        <v>48</v>
      </c>
      <c r="B186" s="12" t="s">
        <v>46</v>
      </c>
      <c r="C186" s="12" t="s">
        <v>2</v>
      </c>
      <c r="D186" s="12" t="s">
        <v>18</v>
      </c>
      <c r="E186" s="13">
        <v>984.93</v>
      </c>
      <c r="F186" s="14">
        <v>14</v>
      </c>
      <c r="G186" s="15">
        <v>0.2</v>
      </c>
      <c r="H186" s="16">
        <v>45733</v>
      </c>
      <c r="I186" s="13">
        <v>275.77999999999997</v>
      </c>
      <c r="J186" s="17">
        <f t="shared" si="12"/>
        <v>8740.18</v>
      </c>
      <c r="K186" s="26">
        <f t="shared" ca="1" si="13"/>
        <v>46287.008232175926</v>
      </c>
    </row>
    <row r="187" spans="1:11" x14ac:dyDescent="0.25">
      <c r="A187" s="11" t="s">
        <v>16</v>
      </c>
      <c r="B187" s="12" t="s">
        <v>46</v>
      </c>
      <c r="C187" s="12" t="s">
        <v>2</v>
      </c>
      <c r="D187" s="12" t="s">
        <v>6</v>
      </c>
      <c r="E187" s="13">
        <v>1493.49</v>
      </c>
      <c r="F187" s="14">
        <v>18</v>
      </c>
      <c r="G187" s="15">
        <v>0</v>
      </c>
      <c r="H187" s="16">
        <v>45734</v>
      </c>
      <c r="I187" s="13">
        <v>746.74</v>
      </c>
      <c r="J187" s="17">
        <f t="shared" si="12"/>
        <v>9941.8799999999992</v>
      </c>
      <c r="K187" s="26">
        <f t="shared" ca="1" si="13"/>
        <v>46287.008232175926</v>
      </c>
    </row>
    <row r="188" spans="1:11" x14ac:dyDescent="0.25">
      <c r="A188" s="11" t="s">
        <v>23</v>
      </c>
      <c r="B188" s="12" t="s">
        <v>44</v>
      </c>
      <c r="C188" s="12" t="s">
        <v>11</v>
      </c>
      <c r="D188" s="12" t="s">
        <v>6</v>
      </c>
      <c r="E188" s="13">
        <v>689.43</v>
      </c>
      <c r="F188" s="14">
        <v>9</v>
      </c>
      <c r="G188" s="15">
        <v>0.1</v>
      </c>
      <c r="H188" s="16">
        <v>45736</v>
      </c>
      <c r="I188" s="13">
        <v>310.24</v>
      </c>
      <c r="J188" s="17">
        <f t="shared" si="12"/>
        <v>6505.2</v>
      </c>
      <c r="K188" s="26">
        <f t="shared" ca="1" si="13"/>
        <v>46287.008232175926</v>
      </c>
    </row>
    <row r="189" spans="1:11" x14ac:dyDescent="0.25">
      <c r="A189" s="11" t="s">
        <v>31</v>
      </c>
      <c r="B189" s="12" t="s">
        <v>50</v>
      </c>
      <c r="C189" s="12" t="s">
        <v>11</v>
      </c>
      <c r="D189" s="12" t="s">
        <v>6</v>
      </c>
      <c r="E189" s="13">
        <v>682.24</v>
      </c>
      <c r="F189" s="14">
        <v>1</v>
      </c>
      <c r="G189" s="15">
        <v>0</v>
      </c>
      <c r="H189" s="16">
        <v>45738</v>
      </c>
      <c r="I189" s="13">
        <v>341.12</v>
      </c>
      <c r="J189" s="17">
        <f t="shared" si="12"/>
        <v>5913.68</v>
      </c>
      <c r="K189" s="26">
        <f t="shared" ca="1" si="13"/>
        <v>46287.008232175926</v>
      </c>
    </row>
    <row r="190" spans="1:11" x14ac:dyDescent="0.25">
      <c r="A190" s="11" t="s">
        <v>32</v>
      </c>
      <c r="B190" s="12" t="s">
        <v>17</v>
      </c>
      <c r="C190" s="12" t="s">
        <v>15</v>
      </c>
      <c r="D190" s="12" t="s">
        <v>12</v>
      </c>
      <c r="E190" s="13">
        <v>458.54</v>
      </c>
      <c r="F190" s="14">
        <v>15</v>
      </c>
      <c r="G190" s="15">
        <v>0.2</v>
      </c>
      <c r="H190" s="16">
        <v>45741</v>
      </c>
      <c r="I190" s="13">
        <v>91.71</v>
      </c>
      <c r="J190" s="17">
        <f t="shared" si="12"/>
        <v>5779.05</v>
      </c>
      <c r="K190" s="26">
        <f t="shared" ca="1" si="13"/>
        <v>46287.008232175926</v>
      </c>
    </row>
    <row r="191" spans="1:11" x14ac:dyDescent="0.25">
      <c r="A191" s="11" t="s">
        <v>23</v>
      </c>
      <c r="B191" s="12" t="s">
        <v>17</v>
      </c>
      <c r="C191" s="12" t="s">
        <v>11</v>
      </c>
      <c r="D191" s="12" t="s">
        <v>18</v>
      </c>
      <c r="E191" s="13">
        <v>1184.25</v>
      </c>
      <c r="F191" s="14">
        <v>11</v>
      </c>
      <c r="G191" s="15">
        <v>0.2</v>
      </c>
      <c r="H191" s="16">
        <v>45742</v>
      </c>
      <c r="I191" s="13">
        <v>331.59</v>
      </c>
      <c r="J191" s="17">
        <f t="shared" si="12"/>
        <v>6505.2</v>
      </c>
      <c r="K191" s="26">
        <f t="shared" ca="1" si="13"/>
        <v>46287.008232175926</v>
      </c>
    </row>
    <row r="192" spans="1:11" x14ac:dyDescent="0.25">
      <c r="A192" s="11" t="s">
        <v>16</v>
      </c>
      <c r="B192" s="12" t="s">
        <v>1</v>
      </c>
      <c r="C192" s="12" t="s">
        <v>11</v>
      </c>
      <c r="D192" s="12" t="s">
        <v>6</v>
      </c>
      <c r="E192" s="13">
        <v>762.14</v>
      </c>
      <c r="F192" s="14">
        <v>9</v>
      </c>
      <c r="G192" s="15">
        <v>0</v>
      </c>
      <c r="H192" s="16">
        <v>45743</v>
      </c>
      <c r="I192" s="13">
        <v>381.07</v>
      </c>
      <c r="J192" s="17">
        <f t="shared" si="12"/>
        <v>9941.8799999999992</v>
      </c>
      <c r="K192" s="26">
        <f t="shared" ca="1" si="13"/>
        <v>46287.008232175926</v>
      </c>
    </row>
    <row r="193" spans="1:11" x14ac:dyDescent="0.25">
      <c r="A193" s="11" t="s">
        <v>13</v>
      </c>
      <c r="B193" s="12" t="s">
        <v>44</v>
      </c>
      <c r="C193" s="12" t="s">
        <v>15</v>
      </c>
      <c r="D193" s="12" t="s">
        <v>3</v>
      </c>
      <c r="E193" s="13">
        <v>750.71</v>
      </c>
      <c r="F193" s="14">
        <v>10</v>
      </c>
      <c r="G193" s="15">
        <v>0.15</v>
      </c>
      <c r="H193" s="16">
        <v>45743</v>
      </c>
      <c r="I193" s="13">
        <v>255.24</v>
      </c>
      <c r="J193" s="17">
        <f t="shared" si="12"/>
        <v>7928.71</v>
      </c>
      <c r="K193" s="26">
        <f t="shared" ca="1" si="13"/>
        <v>46287.008232175926</v>
      </c>
    </row>
    <row r="194" spans="1:11" x14ac:dyDescent="0.25">
      <c r="A194" s="11" t="s">
        <v>66</v>
      </c>
      <c r="B194" s="12" t="s">
        <v>62</v>
      </c>
      <c r="C194" s="12" t="s">
        <v>25</v>
      </c>
      <c r="D194" s="12" t="s">
        <v>6</v>
      </c>
      <c r="E194" s="13">
        <v>1456.94</v>
      </c>
      <c r="F194" s="14">
        <v>14</v>
      </c>
      <c r="G194" s="15">
        <v>0.05</v>
      </c>
      <c r="H194" s="16">
        <v>45745</v>
      </c>
      <c r="I194" s="13">
        <v>692.05</v>
      </c>
      <c r="J194" s="17">
        <f t="shared" ref="J194:J201" si="14">SUMIF($A$2:$A$201,A194,$E$2:$E$201)</f>
        <v>4951.8899999999994</v>
      </c>
      <c r="K194" s="26">
        <f t="shared" ref="K194:K201" ca="1" si="15">NOW()</f>
        <v>46287.008232175926</v>
      </c>
    </row>
    <row r="195" spans="1:11" x14ac:dyDescent="0.25">
      <c r="A195" s="11" t="s">
        <v>35</v>
      </c>
      <c r="B195" s="12" t="s">
        <v>52</v>
      </c>
      <c r="C195" s="12" t="s">
        <v>9</v>
      </c>
      <c r="D195" s="12" t="s">
        <v>18</v>
      </c>
      <c r="E195" s="13">
        <v>1093.3800000000001</v>
      </c>
      <c r="F195" s="14">
        <v>17</v>
      </c>
      <c r="G195" s="15">
        <v>0.1</v>
      </c>
      <c r="H195" s="16">
        <v>45745</v>
      </c>
      <c r="I195" s="13">
        <v>344.41</v>
      </c>
      <c r="J195" s="17">
        <f t="shared" si="14"/>
        <v>9760.7999999999993</v>
      </c>
      <c r="K195" s="26">
        <f t="shared" ca="1" si="15"/>
        <v>46287.008232175926</v>
      </c>
    </row>
    <row r="196" spans="1:11" x14ac:dyDescent="0.25">
      <c r="A196" s="11" t="s">
        <v>28</v>
      </c>
      <c r="B196" s="12" t="s">
        <v>34</v>
      </c>
      <c r="C196" s="12" t="s">
        <v>2</v>
      </c>
      <c r="D196" s="12" t="s">
        <v>6</v>
      </c>
      <c r="E196" s="13">
        <v>934.27</v>
      </c>
      <c r="F196" s="14">
        <v>8</v>
      </c>
      <c r="G196" s="15">
        <v>0.15</v>
      </c>
      <c r="H196" s="16">
        <v>45746</v>
      </c>
      <c r="I196" s="13">
        <v>397.06</v>
      </c>
      <c r="J196" s="17">
        <f t="shared" si="14"/>
        <v>6729.8899999999994</v>
      </c>
      <c r="K196" s="26">
        <f t="shared" ca="1" si="15"/>
        <v>46287.008232175926</v>
      </c>
    </row>
    <row r="197" spans="1:11" x14ac:dyDescent="0.25">
      <c r="A197" s="11" t="s">
        <v>61</v>
      </c>
      <c r="B197" s="12" t="s">
        <v>27</v>
      </c>
      <c r="C197" s="12" t="s">
        <v>25</v>
      </c>
      <c r="D197" s="12" t="s">
        <v>6</v>
      </c>
      <c r="E197" s="13">
        <v>1465.35</v>
      </c>
      <c r="F197" s="14">
        <v>8</v>
      </c>
      <c r="G197" s="15">
        <v>0.2</v>
      </c>
      <c r="H197" s="16">
        <v>45746</v>
      </c>
      <c r="I197" s="13">
        <v>586.14</v>
      </c>
      <c r="J197" s="17">
        <f t="shared" si="14"/>
        <v>7583.1299999999992</v>
      </c>
      <c r="K197" s="26">
        <f t="shared" ca="1" si="15"/>
        <v>46287.008232175926</v>
      </c>
    </row>
    <row r="198" spans="1:11" x14ac:dyDescent="0.25">
      <c r="A198" s="11" t="s">
        <v>43</v>
      </c>
      <c r="B198" s="12" t="s">
        <v>5</v>
      </c>
      <c r="C198" s="12" t="s">
        <v>11</v>
      </c>
      <c r="D198" s="12" t="s">
        <v>30</v>
      </c>
      <c r="E198" s="13">
        <v>740.8</v>
      </c>
      <c r="F198" s="14">
        <v>3</v>
      </c>
      <c r="G198" s="15">
        <v>0</v>
      </c>
      <c r="H198" s="16">
        <v>45749</v>
      </c>
      <c r="I198" s="13">
        <v>333.36</v>
      </c>
      <c r="J198" s="17">
        <f t="shared" si="14"/>
        <v>10293.870000000001</v>
      </c>
      <c r="K198" s="26">
        <f t="shared" ca="1" si="15"/>
        <v>46287.008232175926</v>
      </c>
    </row>
    <row r="199" spans="1:11" x14ac:dyDescent="0.25">
      <c r="A199" s="11" t="s">
        <v>49</v>
      </c>
      <c r="B199" s="12" t="s">
        <v>34</v>
      </c>
      <c r="C199" s="12" t="s">
        <v>2</v>
      </c>
      <c r="D199" s="12" t="s">
        <v>30</v>
      </c>
      <c r="E199" s="13">
        <v>545.44000000000005</v>
      </c>
      <c r="F199" s="14">
        <v>17</v>
      </c>
      <c r="G199" s="15">
        <v>0</v>
      </c>
      <c r="H199" s="16">
        <v>45752</v>
      </c>
      <c r="I199" s="13">
        <v>245.45</v>
      </c>
      <c r="J199" s="17">
        <f t="shared" si="14"/>
        <v>11611.060000000001</v>
      </c>
      <c r="K199" s="26">
        <f t="shared" ca="1" si="15"/>
        <v>46287.008232175926</v>
      </c>
    </row>
    <row r="200" spans="1:11" x14ac:dyDescent="0.25">
      <c r="A200" s="11" t="s">
        <v>26</v>
      </c>
      <c r="B200" s="12" t="s">
        <v>27</v>
      </c>
      <c r="C200" s="12" t="s">
        <v>9</v>
      </c>
      <c r="D200" s="12" t="s">
        <v>3</v>
      </c>
      <c r="E200" s="13">
        <v>997.61</v>
      </c>
      <c r="F200" s="14">
        <v>8</v>
      </c>
      <c r="G200" s="15">
        <v>0.05</v>
      </c>
      <c r="H200" s="16">
        <v>45752</v>
      </c>
      <c r="I200" s="13">
        <v>379.09</v>
      </c>
      <c r="J200" s="17">
        <f t="shared" si="14"/>
        <v>4259.22</v>
      </c>
      <c r="K200" s="26">
        <f t="shared" ca="1" si="15"/>
        <v>46287.008232175926</v>
      </c>
    </row>
    <row r="201" spans="1:11" x14ac:dyDescent="0.25">
      <c r="A201" s="11" t="s">
        <v>51</v>
      </c>
      <c r="B201" s="12" t="s">
        <v>27</v>
      </c>
      <c r="C201" s="12" t="s">
        <v>11</v>
      </c>
      <c r="D201" s="12" t="s">
        <v>6</v>
      </c>
      <c r="E201" s="13">
        <v>928.32</v>
      </c>
      <c r="F201" s="14">
        <v>2</v>
      </c>
      <c r="G201" s="15">
        <v>0.05</v>
      </c>
      <c r="H201" s="16">
        <v>45754</v>
      </c>
      <c r="I201" s="13">
        <v>440.95</v>
      </c>
      <c r="J201" s="17">
        <f t="shared" si="14"/>
        <v>3369.17</v>
      </c>
      <c r="K201" s="26">
        <f t="shared" ca="1" si="15"/>
        <v>46287.008232175926</v>
      </c>
    </row>
  </sheetData>
  <mergeCells count="2">
    <mergeCell ref="M5:O5"/>
    <mergeCell ref="M19:U19"/>
  </mergeCells>
  <phoneticPr fontId="1" type="noConversion"/>
  <conditionalFormatting sqref="J1:J1048576">
    <cfRule type="top10" dxfId="161" priority="3" bottom="1" rank="10"/>
  </conditionalFormatting>
  <conditionalFormatting sqref="J2">
    <cfRule type="top10" dxfId="160" priority="6" rank="10"/>
  </conditionalFormatting>
  <conditionalFormatting sqref="J2:J201">
    <cfRule type="top10" dxfId="159" priority="4" rank="10"/>
    <cfRule type="top10" dxfId="158" priority="5" rank="10"/>
  </conditionalFormatting>
  <conditionalFormatting sqref="M6:O16">
    <cfRule type="iconSet" priority="1">
      <iconSet iconSet="3Arrows">
        <cfvo type="percent" val="0"/>
        <cfvo type="percent" val="33"/>
        <cfvo type="percent" val="67"/>
      </iconSet>
    </cfRule>
  </conditionalFormatting>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B876-8D4C-4ACC-8143-EE755E6A922B}">
  <dimension ref="A1:E13"/>
  <sheetViews>
    <sheetView workbookViewId="0">
      <selection activeCell="D17" sqref="D17"/>
    </sheetView>
  </sheetViews>
  <sheetFormatPr defaultRowHeight="15" x14ac:dyDescent="0.25"/>
  <cols>
    <col min="1" max="1" width="12" customWidth="1"/>
    <col min="2" max="2" width="17" customWidth="1"/>
    <col min="3" max="3" width="19.140625" customWidth="1"/>
    <col min="4" max="4" width="22.7109375" customWidth="1"/>
    <col min="5" max="5" width="15.140625" customWidth="1"/>
  </cols>
  <sheetData>
    <row r="1" spans="1:5" x14ac:dyDescent="0.25">
      <c r="A1" s="41" t="s">
        <v>130</v>
      </c>
      <c r="B1" s="41" t="s">
        <v>128</v>
      </c>
      <c r="C1" s="42" t="s">
        <v>129</v>
      </c>
    </row>
    <row r="2" spans="1:5" x14ac:dyDescent="0.25">
      <c r="A2" s="31">
        <v>1</v>
      </c>
      <c r="B2" s="31" cm="1">
        <f t="array" ref="B2">SUMPRODUCT((MONTH(ANALYZER_DATA!$H$2:$H$201)=A2)*ANALYZER_DATA!$E$2:$E$201)</f>
        <v>14914.650000000001</v>
      </c>
      <c r="C2" s="45">
        <f t="shared" ref="C2:C12" si="0">B3/B2-1</f>
        <v>-6.0899183018039538E-2</v>
      </c>
    </row>
    <row r="3" spans="1:5" x14ac:dyDescent="0.25">
      <c r="A3" s="29">
        <v>2</v>
      </c>
      <c r="B3" s="29" cm="1">
        <f t="array" ref="B3">SUMPRODUCT((MONTH(ANALYZER_DATA!$H$2:$H$201)=A3)*ANALYZER_DATA!$E$2:$E$201)</f>
        <v>14006.359999999999</v>
      </c>
      <c r="C3" s="45">
        <f t="shared" si="0"/>
        <v>0.26051450912299834</v>
      </c>
    </row>
    <row r="4" spans="1:5" x14ac:dyDescent="0.25">
      <c r="A4" s="31">
        <v>3</v>
      </c>
      <c r="B4" s="31" cm="1">
        <f t="array" ref="B4">SUMPRODUCT((MONTH(ANALYZER_DATA!$H$2:$H$201)=A4)*ANALYZER_DATA!$E$2:$E$201)</f>
        <v>17655.219999999998</v>
      </c>
      <c r="C4" s="45">
        <f t="shared" si="0"/>
        <v>0.25980474896376249</v>
      </c>
      <c r="E4" s="44"/>
    </row>
    <row r="5" spans="1:5" x14ac:dyDescent="0.25">
      <c r="A5" s="29">
        <v>4</v>
      </c>
      <c r="B5" s="29" cm="1">
        <f t="array" ref="B5">SUMPRODUCT((MONTH(ANALYZER_DATA!$H$2:$H$201)=A5)*ANALYZER_DATA!$E$2:$E$201)</f>
        <v>22242.129999999997</v>
      </c>
      <c r="C5" s="45">
        <f t="shared" si="0"/>
        <v>-0.16791512323684832</v>
      </c>
    </row>
    <row r="6" spans="1:5" x14ac:dyDescent="0.25">
      <c r="A6" s="31">
        <v>5</v>
      </c>
      <c r="B6" s="31" cm="1">
        <f t="array" ref="B6">SUMPRODUCT((MONTH(ANALYZER_DATA!$H$2:$H$201)=A6)*ANALYZER_DATA!$E$2:$E$201)</f>
        <v>18507.339999999997</v>
      </c>
      <c r="C6" s="45">
        <f t="shared" si="0"/>
        <v>9.0783980842195744E-2</v>
      </c>
    </row>
    <row r="7" spans="1:5" x14ac:dyDescent="0.25">
      <c r="A7" s="29">
        <v>6</v>
      </c>
      <c r="B7" s="29" cm="1">
        <f t="array" ref="B7">SUMPRODUCT((MONTH(ANALYZER_DATA!$H$2:$H$201)=A7)*ANALYZER_DATA!$E$2:$E$201)</f>
        <v>20187.509999999998</v>
      </c>
      <c r="C7" s="47">
        <f t="shared" si="0"/>
        <v>-0.42493947990614001</v>
      </c>
    </row>
    <row r="8" spans="1:5" x14ac:dyDescent="0.25">
      <c r="A8" s="31">
        <v>7</v>
      </c>
      <c r="B8" s="31" cm="1">
        <f t="array" ref="B8">SUMPRODUCT((MONTH(ANALYZER_DATA!$H$2:$H$201)=A8)*ANALYZER_DATA!$E$2:$E$201)</f>
        <v>11609.039999999999</v>
      </c>
      <c r="C8" s="46">
        <f t="shared" si="0"/>
        <v>-0.13070331396911372</v>
      </c>
    </row>
    <row r="9" spans="1:5" x14ac:dyDescent="0.25">
      <c r="A9" s="29">
        <v>8</v>
      </c>
      <c r="B9" s="29" cm="1">
        <f t="array" ref="B9">SUMPRODUCT((MONTH(ANALYZER_DATA!$H$2:$H$201)=A9)*ANALYZER_DATA!$E$2:$E$201)</f>
        <v>10091.699999999999</v>
      </c>
      <c r="C9" s="43">
        <f t="shared" si="0"/>
        <v>1.0346918755016499</v>
      </c>
    </row>
    <row r="10" spans="1:5" x14ac:dyDescent="0.25">
      <c r="A10" s="31">
        <v>9</v>
      </c>
      <c r="B10" s="31" cm="1">
        <f t="array" ref="B10">SUMPRODUCT((MONTH(ANALYZER_DATA!$H$2:$H$201)=A10)*ANALYZER_DATA!$E$2:$E$201)</f>
        <v>20533.499999999996</v>
      </c>
      <c r="C10" s="46">
        <f t="shared" si="0"/>
        <v>-0.30770496992719198</v>
      </c>
    </row>
    <row r="11" spans="1:5" x14ac:dyDescent="0.25">
      <c r="A11" s="29">
        <v>10</v>
      </c>
      <c r="B11" s="29" cm="1">
        <f t="array" ref="B11">SUMPRODUCT((MONTH(ANALYZER_DATA!$H$2:$H$201)=A11)*ANALYZER_DATA!$E$2:$E$201)</f>
        <v>14215.240000000002</v>
      </c>
      <c r="C11" s="43">
        <f t="shared" si="0"/>
        <v>0.41643968023051325</v>
      </c>
    </row>
    <row r="12" spans="1:5" x14ac:dyDescent="0.25">
      <c r="A12" s="31">
        <v>11</v>
      </c>
      <c r="B12" s="31" cm="1">
        <f t="array" ref="B12">SUMPRODUCT((MONTH(ANALYZER_DATA!$H$2:$H$201)=A12)*ANALYZER_DATA!$E$2:$E$201)</f>
        <v>20135.030000000002</v>
      </c>
      <c r="C12" s="48">
        <f t="shared" si="0"/>
        <v>-0.44772667336477778</v>
      </c>
    </row>
    <row r="13" spans="1:5" x14ac:dyDescent="0.25">
      <c r="A13" s="29">
        <v>12</v>
      </c>
      <c r="B13" s="29" cm="1">
        <f t="array" ref="B13">SUMPRODUCT((MONTH(ANALYZER_DATA!$H$2:$H$201)=A13)*ANALYZER_DATA!$E$2:$E$201)</f>
        <v>11120.04</v>
      </c>
      <c r="C13" s="49">
        <f>D18/B13-1</f>
        <v>-1</v>
      </c>
    </row>
  </sheetData>
  <conditionalFormatting sqref="C1:C13">
    <cfRule type="iconSet" priority="1">
      <iconSet iconSet="3Arrows">
        <cfvo type="percent" val="0"/>
        <cfvo type="percent" val="33"/>
        <cfvo type="percent" val="67"/>
      </iconSet>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BB390-E05B-427E-A0F3-CA69F8B6BD37}">
  <dimension ref="A1:F15"/>
  <sheetViews>
    <sheetView workbookViewId="0">
      <selection activeCell="E10" sqref="E10"/>
    </sheetView>
  </sheetViews>
  <sheetFormatPr defaultRowHeight="15" x14ac:dyDescent="0.25"/>
  <cols>
    <col min="1" max="1" width="25.28515625" customWidth="1"/>
    <col min="2" max="2" width="27" customWidth="1"/>
  </cols>
  <sheetData>
    <row r="1" spans="1:6" x14ac:dyDescent="0.25">
      <c r="A1" s="66" t="s">
        <v>95</v>
      </c>
      <c r="B1" s="67"/>
    </row>
    <row r="2" spans="1:6" x14ac:dyDescent="0.25">
      <c r="A2" s="51"/>
      <c r="B2" s="51"/>
    </row>
    <row r="3" spans="1:6" x14ac:dyDescent="0.25">
      <c r="A3" s="33" t="s">
        <v>82</v>
      </c>
      <c r="B3" s="33">
        <v>341.78879396984934</v>
      </c>
    </row>
    <row r="4" spans="1:6" x14ac:dyDescent="0.25">
      <c r="A4" s="51" t="s">
        <v>83</v>
      </c>
      <c r="B4" s="51">
        <v>9.6419308622554567</v>
      </c>
    </row>
    <row r="5" spans="1:6" x14ac:dyDescent="0.25">
      <c r="A5" s="33" t="s">
        <v>84</v>
      </c>
      <c r="B5" s="33">
        <v>332.32</v>
      </c>
    </row>
    <row r="6" spans="1:6" x14ac:dyDescent="0.25">
      <c r="A6" s="51" t="s">
        <v>85</v>
      </c>
      <c r="B6" s="51" t="e">
        <v>#N/A</v>
      </c>
    </row>
    <row r="7" spans="1:6" x14ac:dyDescent="0.25">
      <c r="A7" s="33" t="s">
        <v>86</v>
      </c>
      <c r="B7" s="33">
        <v>136.01617300802997</v>
      </c>
      <c r="F7" s="20"/>
    </row>
    <row r="8" spans="1:6" x14ac:dyDescent="0.25">
      <c r="A8" s="51" t="s">
        <v>87</v>
      </c>
      <c r="B8" s="51">
        <v>18500.399319750341</v>
      </c>
    </row>
    <row r="9" spans="1:6" x14ac:dyDescent="0.25">
      <c r="A9" s="33" t="s">
        <v>88</v>
      </c>
      <c r="B9" s="33">
        <v>0.25067990469820201</v>
      </c>
    </row>
    <row r="10" spans="1:6" x14ac:dyDescent="0.25">
      <c r="A10" s="51" t="s">
        <v>89</v>
      </c>
      <c r="B10" s="51">
        <v>0.56597557234885421</v>
      </c>
    </row>
    <row r="11" spans="1:6" x14ac:dyDescent="0.25">
      <c r="A11" s="33" t="s">
        <v>90</v>
      </c>
      <c r="B11" s="33">
        <v>704.83</v>
      </c>
    </row>
    <row r="12" spans="1:6" x14ac:dyDescent="0.25">
      <c r="A12" s="51" t="s">
        <v>91</v>
      </c>
      <c r="B12" s="51">
        <v>64.63</v>
      </c>
    </row>
    <row r="13" spans="1:6" x14ac:dyDescent="0.25">
      <c r="A13" s="33" t="s">
        <v>92</v>
      </c>
      <c r="B13" s="33">
        <v>769.46</v>
      </c>
    </row>
    <row r="14" spans="1:6" x14ac:dyDescent="0.25">
      <c r="A14" s="51" t="s">
        <v>93</v>
      </c>
      <c r="B14" s="51">
        <v>68015.970000000016</v>
      </c>
    </row>
    <row r="15" spans="1:6" x14ac:dyDescent="0.25">
      <c r="A15" s="33" t="s">
        <v>94</v>
      </c>
      <c r="B15" s="33">
        <v>199</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06A3D-232F-4BA1-B28F-A127C4DE7A7D}">
  <dimension ref="A1:I19"/>
  <sheetViews>
    <sheetView workbookViewId="0">
      <selection activeCell="H31" sqref="H31"/>
    </sheetView>
  </sheetViews>
  <sheetFormatPr defaultRowHeight="15" x14ac:dyDescent="0.25"/>
  <cols>
    <col min="1" max="1" width="17" customWidth="1"/>
    <col min="2" max="2" width="22" customWidth="1"/>
    <col min="3" max="3" width="18.7109375" customWidth="1"/>
    <col min="4" max="4" width="18" customWidth="1"/>
    <col min="5" max="5" width="22.28515625" customWidth="1"/>
    <col min="6" max="6" width="21" customWidth="1"/>
    <col min="7" max="7" width="20.28515625" customWidth="1"/>
    <col min="8" max="8" width="17" customWidth="1"/>
    <col min="9" max="9" width="24.28515625" customWidth="1"/>
  </cols>
  <sheetData>
    <row r="1" spans="1:9" x14ac:dyDescent="0.25">
      <c r="A1" s="68" t="s">
        <v>96</v>
      </c>
      <c r="B1" s="68"/>
      <c r="C1" s="68"/>
      <c r="D1" s="68"/>
      <c r="E1" s="68"/>
      <c r="F1" s="68"/>
      <c r="G1" s="68"/>
      <c r="H1" s="68"/>
      <c r="I1" s="68"/>
    </row>
    <row r="2" spans="1:9" x14ac:dyDescent="0.25">
      <c r="A2" s="68"/>
      <c r="B2" s="68"/>
      <c r="C2" s="68"/>
      <c r="D2" s="68"/>
      <c r="E2" s="68"/>
      <c r="F2" s="68"/>
      <c r="G2" s="68"/>
      <c r="H2" s="68"/>
      <c r="I2" s="68"/>
    </row>
    <row r="3" spans="1:9" ht="26.25" x14ac:dyDescent="0.4">
      <c r="A3" s="69" t="s">
        <v>97</v>
      </c>
      <c r="B3" s="70"/>
      <c r="C3" s="70"/>
      <c r="D3" s="70"/>
      <c r="E3" s="70"/>
      <c r="F3" s="70"/>
      <c r="G3" s="70"/>
      <c r="H3" s="70"/>
      <c r="I3" s="71"/>
    </row>
    <row r="4" spans="1:9" x14ac:dyDescent="0.25">
      <c r="A4" s="30" t="s">
        <v>98</v>
      </c>
      <c r="B4" s="30">
        <v>0.77340306414342619</v>
      </c>
      <c r="C4" s="29"/>
      <c r="D4" s="29"/>
      <c r="E4" s="29"/>
      <c r="F4" s="29"/>
      <c r="G4" s="29"/>
      <c r="H4" s="29"/>
      <c r="I4" s="29"/>
    </row>
    <row r="5" spans="1:9" x14ac:dyDescent="0.25">
      <c r="A5" s="31" t="s">
        <v>99</v>
      </c>
      <c r="B5" s="31">
        <v>0.59815229962644056</v>
      </c>
      <c r="C5" s="31"/>
      <c r="D5" s="31"/>
      <c r="E5" s="31"/>
      <c r="F5" s="31"/>
      <c r="G5" s="31"/>
      <c r="H5" s="31"/>
      <c r="I5" s="31"/>
    </row>
    <row r="6" spans="1:9" x14ac:dyDescent="0.25">
      <c r="A6" s="30" t="s">
        <v>100</v>
      </c>
      <c r="B6" s="30">
        <v>0.59612276578617007</v>
      </c>
      <c r="C6" s="29"/>
      <c r="D6" s="29"/>
      <c r="E6" s="29"/>
      <c r="F6" s="29"/>
      <c r="G6" s="29"/>
      <c r="H6" s="29"/>
      <c r="I6" s="29"/>
    </row>
    <row r="7" spans="1:9" x14ac:dyDescent="0.25">
      <c r="A7" s="31" t="s">
        <v>83</v>
      </c>
      <c r="B7" s="31">
        <v>86.281230529665166</v>
      </c>
      <c r="C7" s="31"/>
      <c r="D7" s="31"/>
      <c r="E7" s="31"/>
      <c r="F7" s="31"/>
      <c r="G7" s="31"/>
      <c r="H7" s="31"/>
      <c r="I7" s="31"/>
    </row>
    <row r="8" spans="1:9" x14ac:dyDescent="0.25">
      <c r="A8" s="30" t="s">
        <v>101</v>
      </c>
      <c r="B8" s="30">
        <v>200</v>
      </c>
      <c r="C8" s="29"/>
      <c r="D8" s="29"/>
      <c r="E8" s="29"/>
      <c r="F8" s="29"/>
      <c r="G8" s="29"/>
      <c r="H8" s="29"/>
      <c r="I8" s="29"/>
    </row>
    <row r="9" spans="1:9" x14ac:dyDescent="0.25">
      <c r="A9" s="31"/>
      <c r="B9" s="31"/>
      <c r="C9" s="31"/>
      <c r="D9" s="31"/>
      <c r="E9" s="31"/>
      <c r="F9" s="31"/>
      <c r="G9" s="31"/>
      <c r="H9" s="31"/>
      <c r="I9" s="31"/>
    </row>
    <row r="10" spans="1:9" x14ac:dyDescent="0.25">
      <c r="A10" s="29" t="s">
        <v>102</v>
      </c>
      <c r="B10" s="29"/>
      <c r="C10" s="29"/>
      <c r="D10" s="29"/>
      <c r="E10" s="29"/>
      <c r="F10" s="29"/>
      <c r="G10" s="29"/>
      <c r="H10" s="29"/>
      <c r="I10" s="29"/>
    </row>
    <row r="11" spans="1:9" ht="12" customHeight="1" x14ac:dyDescent="0.25">
      <c r="A11" s="32"/>
      <c r="B11" s="32" t="s">
        <v>107</v>
      </c>
      <c r="C11" s="32" t="s">
        <v>108</v>
      </c>
      <c r="D11" s="32" t="s">
        <v>109</v>
      </c>
      <c r="E11" s="32" t="s">
        <v>110</v>
      </c>
      <c r="F11" s="32" t="s">
        <v>111</v>
      </c>
      <c r="G11" s="31"/>
      <c r="H11" s="31"/>
      <c r="I11" s="31"/>
    </row>
    <row r="12" spans="1:9" x14ac:dyDescent="0.25">
      <c r="A12" s="30" t="s">
        <v>103</v>
      </c>
      <c r="B12" s="30">
        <v>1</v>
      </c>
      <c r="C12" s="30">
        <v>2194058.1833402822</v>
      </c>
      <c r="D12" s="30">
        <v>2194058.1833402822</v>
      </c>
      <c r="E12" s="30">
        <v>294.72398427548114</v>
      </c>
      <c r="F12" s="30">
        <v>4.6269367558910499E-41</v>
      </c>
      <c r="G12" s="29"/>
      <c r="H12" s="29"/>
      <c r="I12" s="29"/>
    </row>
    <row r="13" spans="1:9" x14ac:dyDescent="0.25">
      <c r="A13" s="31" t="s">
        <v>104</v>
      </c>
      <c r="B13" s="31">
        <v>198</v>
      </c>
      <c r="C13" s="31">
        <v>1474001.2468592182</v>
      </c>
      <c r="D13" s="31">
        <v>7444.4507417132236</v>
      </c>
      <c r="E13" s="31"/>
      <c r="F13" s="31"/>
      <c r="G13" s="31"/>
      <c r="H13" s="31"/>
      <c r="I13" s="31"/>
    </row>
    <row r="14" spans="1:9" x14ac:dyDescent="0.25">
      <c r="A14" s="30" t="s">
        <v>105</v>
      </c>
      <c r="B14" s="30">
        <v>199</v>
      </c>
      <c r="C14" s="30">
        <v>3668059.4301995002</v>
      </c>
      <c r="D14" s="30"/>
      <c r="E14" s="30"/>
      <c r="F14" s="30"/>
      <c r="G14" s="29"/>
      <c r="H14" s="29"/>
      <c r="I14" s="29"/>
    </row>
    <row r="15" spans="1:9" x14ac:dyDescent="0.25">
      <c r="A15" s="31"/>
      <c r="B15" s="31"/>
      <c r="C15" s="31"/>
      <c r="D15" s="31"/>
      <c r="E15" s="31"/>
      <c r="F15" s="31"/>
      <c r="G15" s="31"/>
      <c r="H15" s="31"/>
      <c r="I15" s="31"/>
    </row>
    <row r="16" spans="1:9" x14ac:dyDescent="0.25">
      <c r="A16" s="19"/>
      <c r="B16" s="19" t="s">
        <v>112</v>
      </c>
      <c r="C16" s="19" t="s">
        <v>83</v>
      </c>
      <c r="D16" s="19" t="s">
        <v>113</v>
      </c>
      <c r="E16" s="19" t="s">
        <v>114</v>
      </c>
      <c r="F16" s="19" t="s">
        <v>115</v>
      </c>
      <c r="G16" s="19" t="s">
        <v>116</v>
      </c>
      <c r="H16" s="19" t="s">
        <v>117</v>
      </c>
      <c r="I16" s="19" t="s">
        <v>118</v>
      </c>
    </row>
    <row r="17" spans="1:9" x14ac:dyDescent="0.25">
      <c r="A17" s="31" t="s">
        <v>106</v>
      </c>
      <c r="B17" s="31">
        <v>-1.0315504901911368</v>
      </c>
      <c r="C17" s="31">
        <v>20.860617005445505</v>
      </c>
      <c r="D17" s="31">
        <v>-4.9449663445805959E-2</v>
      </c>
      <c r="E17" s="31">
        <v>0.96061079696907459</v>
      </c>
      <c r="F17" s="31">
        <v>-42.169051823378965</v>
      </c>
      <c r="G17" s="31">
        <v>40.105950842996691</v>
      </c>
      <c r="H17" s="31">
        <v>-42.169051823378965</v>
      </c>
      <c r="I17" s="31">
        <v>40.105950842996691</v>
      </c>
    </row>
    <row r="18" spans="1:9" x14ac:dyDescent="0.25">
      <c r="A18" s="30" t="s">
        <v>119</v>
      </c>
      <c r="B18" s="30">
        <v>0.35085598819512254</v>
      </c>
      <c r="C18" s="30">
        <v>2.0437188630135626E-2</v>
      </c>
      <c r="D18" s="30">
        <v>17.167527028535048</v>
      </c>
      <c r="E18" s="30">
        <v>4.6269367558907868E-41</v>
      </c>
      <c r="F18" s="30">
        <v>0.31055349501865764</v>
      </c>
      <c r="G18" s="30">
        <v>0.39115848137158743</v>
      </c>
      <c r="H18" s="30">
        <v>0.31055349501865764</v>
      </c>
      <c r="I18" s="30">
        <v>0.39115848137158743</v>
      </c>
    </row>
    <row r="19" spans="1:9" x14ac:dyDescent="0.25">
      <c r="A19" s="31"/>
      <c r="B19" s="31"/>
      <c r="C19" s="31"/>
      <c r="D19" s="31"/>
      <c r="E19" s="31"/>
      <c r="F19" s="31"/>
      <c r="G19" s="31"/>
      <c r="H19" s="31"/>
      <c r="I19" s="31"/>
    </row>
  </sheetData>
  <mergeCells count="2">
    <mergeCell ref="A1:I2"/>
    <mergeCell ref="A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8030-E94C-4144-9BFE-D94B1B9BE519}">
  <dimension ref="A3:G10"/>
  <sheetViews>
    <sheetView topLeftCell="B1" workbookViewId="0">
      <selection activeCell="I13" sqref="I13"/>
    </sheetView>
  </sheetViews>
  <sheetFormatPr defaultRowHeight="15" x14ac:dyDescent="0.25"/>
  <cols>
    <col min="1" max="1" width="15.7109375" bestFit="1" customWidth="1"/>
    <col min="2" max="2" width="19.140625" bestFit="1" customWidth="1"/>
    <col min="3" max="3" width="9.28515625" bestFit="1" customWidth="1"/>
    <col min="4" max="4" width="11.140625" bestFit="1" customWidth="1"/>
    <col min="5" max="6" width="9" bestFit="1" customWidth="1"/>
    <col min="7" max="7" width="11.28515625" bestFit="1" customWidth="1"/>
  </cols>
  <sheetData>
    <row r="3" spans="1:7" x14ac:dyDescent="0.25">
      <c r="A3" s="38" t="s">
        <v>127</v>
      </c>
      <c r="B3" s="38" t="s">
        <v>126</v>
      </c>
      <c r="C3" s="29"/>
      <c r="D3" s="29"/>
      <c r="E3" s="29"/>
      <c r="F3" s="29"/>
      <c r="G3" s="29"/>
    </row>
    <row r="4" spans="1:7" x14ac:dyDescent="0.25">
      <c r="A4" s="38" t="s">
        <v>124</v>
      </c>
      <c r="B4" s="29" t="s">
        <v>30</v>
      </c>
      <c r="C4" s="29" t="s">
        <v>18</v>
      </c>
      <c r="D4" s="29" t="s">
        <v>12</v>
      </c>
      <c r="E4" s="29" t="s">
        <v>6</v>
      </c>
      <c r="F4" s="39" t="s">
        <v>3</v>
      </c>
      <c r="G4" s="29" t="s">
        <v>125</v>
      </c>
    </row>
    <row r="5" spans="1:7" x14ac:dyDescent="0.25">
      <c r="A5" s="29" t="s">
        <v>25</v>
      </c>
      <c r="B5" s="40">
        <v>8472.7199999999993</v>
      </c>
      <c r="C5" s="40">
        <v>4876.96</v>
      </c>
      <c r="D5" s="40">
        <v>6621.24</v>
      </c>
      <c r="E5" s="40">
        <v>12200.26</v>
      </c>
      <c r="F5" s="40">
        <v>11297.150000000001</v>
      </c>
      <c r="G5" s="40">
        <v>43468.33</v>
      </c>
    </row>
    <row r="6" spans="1:7" x14ac:dyDescent="0.25">
      <c r="A6" s="29" t="s">
        <v>9</v>
      </c>
      <c r="B6" s="40">
        <v>8189.2200000000012</v>
      </c>
      <c r="C6" s="40">
        <v>7592.3399999999992</v>
      </c>
      <c r="D6" s="40">
        <v>2869.54</v>
      </c>
      <c r="E6" s="40">
        <v>2401.4499999999998</v>
      </c>
      <c r="F6" s="40">
        <v>11389.090000000002</v>
      </c>
      <c r="G6" s="40">
        <v>32441.640000000007</v>
      </c>
    </row>
    <row r="7" spans="1:7" x14ac:dyDescent="0.25">
      <c r="A7" s="29" t="s">
        <v>15</v>
      </c>
      <c r="B7" s="40">
        <v>3345.8</v>
      </c>
      <c r="C7" s="40">
        <v>6978.08</v>
      </c>
      <c r="D7" s="40">
        <v>8191.7099999999991</v>
      </c>
      <c r="E7" s="40">
        <v>8422.82</v>
      </c>
      <c r="F7" s="40">
        <v>8037.0100000000011</v>
      </c>
      <c r="G7" s="40">
        <v>34975.42</v>
      </c>
    </row>
    <row r="8" spans="1:7" x14ac:dyDescent="0.25">
      <c r="A8" s="29" t="s">
        <v>11</v>
      </c>
      <c r="B8" s="40">
        <v>2295.3199999999997</v>
      </c>
      <c r="C8" s="40">
        <v>7982.73</v>
      </c>
      <c r="D8" s="40">
        <v>11989.070000000003</v>
      </c>
      <c r="E8" s="40">
        <v>8393.630000000001</v>
      </c>
      <c r="F8" s="40">
        <v>9588.0400000000009</v>
      </c>
      <c r="G8" s="40">
        <v>40248.790000000008</v>
      </c>
    </row>
    <row r="9" spans="1:7" x14ac:dyDescent="0.25">
      <c r="A9" s="29" t="s">
        <v>2</v>
      </c>
      <c r="B9" s="40">
        <v>6327.76</v>
      </c>
      <c r="C9" s="40">
        <v>9182.7800000000007</v>
      </c>
      <c r="D9" s="40">
        <v>11372.44</v>
      </c>
      <c r="E9" s="40">
        <v>10509.429999999998</v>
      </c>
      <c r="F9" s="40">
        <v>6691.17</v>
      </c>
      <c r="G9" s="40">
        <v>44083.58</v>
      </c>
    </row>
    <row r="10" spans="1:7" x14ac:dyDescent="0.25">
      <c r="A10" s="29" t="s">
        <v>125</v>
      </c>
      <c r="B10" s="40">
        <v>28630.82</v>
      </c>
      <c r="C10" s="40">
        <v>36612.89</v>
      </c>
      <c r="D10" s="40">
        <v>41044</v>
      </c>
      <c r="E10" s="40">
        <v>41927.589999999997</v>
      </c>
      <c r="F10" s="40">
        <v>47002.460000000006</v>
      </c>
      <c r="G10" s="40">
        <v>195217.76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9476-627B-4CAB-B2AC-CDBB95E0EDCE}">
  <dimension ref="A3:B9"/>
  <sheetViews>
    <sheetView workbookViewId="0">
      <selection activeCell="R16" sqref="R16"/>
    </sheetView>
  </sheetViews>
  <sheetFormatPr defaultRowHeight="15" x14ac:dyDescent="0.25"/>
  <cols>
    <col min="1" max="2" width="13.42578125" bestFit="1" customWidth="1"/>
  </cols>
  <sheetData>
    <row r="3" spans="1:2" x14ac:dyDescent="0.25">
      <c r="A3" s="35" t="s">
        <v>124</v>
      </c>
      <c r="B3" t="s">
        <v>127</v>
      </c>
    </row>
    <row r="4" spans="1:2" x14ac:dyDescent="0.25">
      <c r="A4" s="36" t="s">
        <v>25</v>
      </c>
      <c r="B4" s="37">
        <v>43468.33</v>
      </c>
    </row>
    <row r="5" spans="1:2" x14ac:dyDescent="0.25">
      <c r="A5" s="36" t="s">
        <v>9</v>
      </c>
      <c r="B5" s="37">
        <v>32441.64</v>
      </c>
    </row>
    <row r="6" spans="1:2" x14ac:dyDescent="0.25">
      <c r="A6" s="36" t="s">
        <v>15</v>
      </c>
      <c r="B6" s="37">
        <v>34975.42</v>
      </c>
    </row>
    <row r="7" spans="1:2" x14ac:dyDescent="0.25">
      <c r="A7" s="36" t="s">
        <v>11</v>
      </c>
      <c r="B7" s="37">
        <v>40248.79</v>
      </c>
    </row>
    <row r="8" spans="1:2" x14ac:dyDescent="0.25">
      <c r="A8" s="36" t="s">
        <v>2</v>
      </c>
      <c r="B8" s="37">
        <v>44083.58</v>
      </c>
    </row>
    <row r="9" spans="1:2" x14ac:dyDescent="0.25">
      <c r="A9" s="36" t="s">
        <v>125</v>
      </c>
      <c r="B9" s="37">
        <v>195217.76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0E321-501D-4561-B5C1-B68587A28722}">
  <dimension ref="A3:B9"/>
  <sheetViews>
    <sheetView workbookViewId="0">
      <selection activeCell="R19" sqref="R19"/>
    </sheetView>
  </sheetViews>
  <sheetFormatPr defaultRowHeight="15" x14ac:dyDescent="0.25"/>
  <cols>
    <col min="1" max="1" width="14.28515625" bestFit="1" customWidth="1"/>
    <col min="2" max="2" width="13.42578125" bestFit="1" customWidth="1"/>
  </cols>
  <sheetData>
    <row r="3" spans="1:2" x14ac:dyDescent="0.25">
      <c r="A3" s="35" t="s">
        <v>124</v>
      </c>
      <c r="B3" t="s">
        <v>127</v>
      </c>
    </row>
    <row r="4" spans="1:2" x14ac:dyDescent="0.25">
      <c r="A4" s="36" t="s">
        <v>3</v>
      </c>
      <c r="B4" s="37">
        <v>47002.460000000006</v>
      </c>
    </row>
    <row r="5" spans="1:2" x14ac:dyDescent="0.25">
      <c r="A5" s="36" t="s">
        <v>6</v>
      </c>
      <c r="B5" s="37">
        <v>41927.589999999989</v>
      </c>
    </row>
    <row r="6" spans="1:2" x14ac:dyDescent="0.25">
      <c r="A6" s="36" t="s">
        <v>12</v>
      </c>
      <c r="B6" s="37">
        <v>41044.000000000007</v>
      </c>
    </row>
    <row r="7" spans="1:2" x14ac:dyDescent="0.25">
      <c r="A7" s="36" t="s">
        <v>18</v>
      </c>
      <c r="B7" s="37">
        <v>36612.89</v>
      </c>
    </row>
    <row r="8" spans="1:2" x14ac:dyDescent="0.25">
      <c r="A8" s="36" t="s">
        <v>30</v>
      </c>
      <c r="B8" s="37">
        <v>28630.819999999992</v>
      </c>
    </row>
    <row r="9" spans="1:2" x14ac:dyDescent="0.25">
      <c r="A9" s="36" t="s">
        <v>125</v>
      </c>
      <c r="B9" s="37">
        <v>195217.76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2E23-F2B8-45E0-A8A4-26785EA9C407}">
  <dimension ref="A1:P57"/>
  <sheetViews>
    <sheetView topLeftCell="E7" workbookViewId="0">
      <selection activeCell="H20" sqref="H20"/>
    </sheetView>
  </sheetViews>
  <sheetFormatPr defaultRowHeight="15" x14ac:dyDescent="0.25"/>
  <cols>
    <col min="1" max="1" width="21.5703125" bestFit="1" customWidth="1"/>
    <col min="2" max="2" width="24.5703125" bestFit="1" customWidth="1"/>
    <col min="3" max="3" width="9.28515625" bestFit="1" customWidth="1"/>
    <col min="4" max="4" width="18.7109375" bestFit="1" customWidth="1"/>
    <col min="5" max="5" width="13.42578125" bestFit="1" customWidth="1"/>
    <col min="6" max="6" width="9" bestFit="1" customWidth="1"/>
    <col min="7" max="7" width="11.28515625" bestFit="1" customWidth="1"/>
    <col min="9" max="9" width="15.7109375" bestFit="1" customWidth="1"/>
    <col min="10" max="10" width="13.42578125" bestFit="1" customWidth="1"/>
    <col min="12" max="12" width="15.7109375" bestFit="1" customWidth="1"/>
    <col min="13" max="13" width="13.42578125" bestFit="1" customWidth="1"/>
    <col min="15" max="15" width="15.7109375" bestFit="1" customWidth="1"/>
    <col min="16" max="16" width="13.42578125" bestFit="1" customWidth="1"/>
  </cols>
  <sheetData>
    <row r="1" spans="1:16" x14ac:dyDescent="0.25">
      <c r="A1" s="64" t="s">
        <v>131</v>
      </c>
      <c r="B1" s="64"/>
      <c r="C1" s="64"/>
      <c r="D1" s="64"/>
      <c r="E1" s="64"/>
      <c r="F1" s="64"/>
      <c r="G1" s="64"/>
      <c r="I1" s="64" t="s">
        <v>132</v>
      </c>
      <c r="J1" s="64"/>
      <c r="L1" s="64" t="s">
        <v>133</v>
      </c>
      <c r="M1" s="64"/>
      <c r="O1" s="64" t="s">
        <v>128</v>
      </c>
      <c r="P1" s="64"/>
    </row>
    <row r="2" spans="1:16" x14ac:dyDescent="0.25">
      <c r="A2" s="38" t="s">
        <v>127</v>
      </c>
      <c r="B2" s="38" t="s">
        <v>126</v>
      </c>
      <c r="C2" s="29"/>
      <c r="D2" s="29"/>
      <c r="E2" s="29"/>
      <c r="F2" s="29"/>
      <c r="G2" s="29"/>
      <c r="I2" s="50" t="s">
        <v>124</v>
      </c>
      <c r="J2" s="29" t="s">
        <v>127</v>
      </c>
      <c r="L2" s="50" t="s">
        <v>124</v>
      </c>
      <c r="M2" s="29" t="s">
        <v>127</v>
      </c>
      <c r="O2" s="50" t="s">
        <v>124</v>
      </c>
      <c r="P2" s="29" t="s">
        <v>127</v>
      </c>
    </row>
    <row r="3" spans="1:16" x14ac:dyDescent="0.25">
      <c r="A3" s="38" t="s">
        <v>124</v>
      </c>
      <c r="B3" s="29" t="s">
        <v>30</v>
      </c>
      <c r="C3" s="29" t="s">
        <v>18</v>
      </c>
      <c r="D3" s="29" t="s">
        <v>12</v>
      </c>
      <c r="E3" s="29" t="s">
        <v>6</v>
      </c>
      <c r="F3" s="39" t="s">
        <v>3</v>
      </c>
      <c r="G3" s="29" t="s">
        <v>125</v>
      </c>
      <c r="I3" s="29" t="s">
        <v>25</v>
      </c>
      <c r="J3" s="40">
        <v>43468.33</v>
      </c>
      <c r="L3" s="29" t="s">
        <v>3</v>
      </c>
      <c r="M3" s="40">
        <v>47002.460000000006</v>
      </c>
      <c r="O3" s="29" t="s">
        <v>143</v>
      </c>
      <c r="P3" s="40">
        <v>14914.650000000001</v>
      </c>
    </row>
    <row r="4" spans="1:16" x14ac:dyDescent="0.25">
      <c r="A4" s="29" t="s">
        <v>25</v>
      </c>
      <c r="B4" s="40">
        <v>8472.7199999999993</v>
      </c>
      <c r="C4" s="40">
        <v>4876.96</v>
      </c>
      <c r="D4" s="40">
        <v>6621.24</v>
      </c>
      <c r="E4" s="40">
        <v>12200.26</v>
      </c>
      <c r="F4" s="40">
        <v>11297.150000000001</v>
      </c>
      <c r="G4" s="40">
        <v>43468.33</v>
      </c>
      <c r="I4" s="29" t="s">
        <v>9</v>
      </c>
      <c r="J4" s="40">
        <v>32441.64</v>
      </c>
      <c r="L4" s="29" t="s">
        <v>6</v>
      </c>
      <c r="M4" s="40">
        <v>41927.589999999989</v>
      </c>
      <c r="O4" s="29" t="s">
        <v>144</v>
      </c>
      <c r="P4" s="40">
        <v>14006.359999999999</v>
      </c>
    </row>
    <row r="5" spans="1:16" x14ac:dyDescent="0.25">
      <c r="A5" s="29" t="s">
        <v>9</v>
      </c>
      <c r="B5" s="40">
        <v>8189.2200000000012</v>
      </c>
      <c r="C5" s="40">
        <v>7592.3399999999992</v>
      </c>
      <c r="D5" s="40">
        <v>2869.54</v>
      </c>
      <c r="E5" s="40">
        <v>2401.4499999999998</v>
      </c>
      <c r="F5" s="40">
        <v>11389.090000000002</v>
      </c>
      <c r="G5" s="40">
        <v>32441.640000000007</v>
      </c>
      <c r="I5" s="29" t="s">
        <v>15</v>
      </c>
      <c r="J5" s="40">
        <v>34975.42</v>
      </c>
      <c r="L5" s="29" t="s">
        <v>12</v>
      </c>
      <c r="M5" s="40">
        <v>41044.000000000007</v>
      </c>
      <c r="O5" s="29" t="s">
        <v>145</v>
      </c>
      <c r="P5" s="40">
        <v>17655.219999999998</v>
      </c>
    </row>
    <row r="6" spans="1:16" x14ac:dyDescent="0.25">
      <c r="A6" s="29" t="s">
        <v>15</v>
      </c>
      <c r="B6" s="40">
        <v>3345.8</v>
      </c>
      <c r="C6" s="40">
        <v>6978.08</v>
      </c>
      <c r="D6" s="40">
        <v>8191.7099999999991</v>
      </c>
      <c r="E6" s="40">
        <v>8422.82</v>
      </c>
      <c r="F6" s="40">
        <v>8037.0100000000011</v>
      </c>
      <c r="G6" s="40">
        <v>34975.42</v>
      </c>
      <c r="I6" s="29" t="s">
        <v>11</v>
      </c>
      <c r="J6" s="40">
        <v>40248.79</v>
      </c>
      <c r="L6" s="29" t="s">
        <v>18</v>
      </c>
      <c r="M6" s="40">
        <v>36612.89</v>
      </c>
      <c r="O6" s="29" t="s">
        <v>134</v>
      </c>
      <c r="P6" s="40">
        <v>22242.129999999997</v>
      </c>
    </row>
    <row r="7" spans="1:16" x14ac:dyDescent="0.25">
      <c r="A7" s="29" t="s">
        <v>11</v>
      </c>
      <c r="B7" s="40">
        <v>2295.3199999999997</v>
      </c>
      <c r="C7" s="40">
        <v>7982.73</v>
      </c>
      <c r="D7" s="40">
        <v>11989.070000000003</v>
      </c>
      <c r="E7" s="40">
        <v>8393.630000000001</v>
      </c>
      <c r="F7" s="40">
        <v>9588.0400000000009</v>
      </c>
      <c r="G7" s="40">
        <v>40248.790000000008</v>
      </c>
      <c r="I7" s="29" t="s">
        <v>2</v>
      </c>
      <c r="J7" s="40">
        <v>44083.58</v>
      </c>
      <c r="L7" s="29" t="s">
        <v>30</v>
      </c>
      <c r="M7" s="40">
        <v>28630.819999999992</v>
      </c>
      <c r="O7" s="29" t="s">
        <v>135</v>
      </c>
      <c r="P7" s="40">
        <v>18507.339999999997</v>
      </c>
    </row>
    <row r="8" spans="1:16" x14ac:dyDescent="0.25">
      <c r="A8" s="29" t="s">
        <v>2</v>
      </c>
      <c r="B8" s="40">
        <v>6327.76</v>
      </c>
      <c r="C8" s="40">
        <v>9182.7800000000007</v>
      </c>
      <c r="D8" s="40">
        <v>11372.44</v>
      </c>
      <c r="E8" s="40">
        <v>10509.429999999998</v>
      </c>
      <c r="F8" s="40">
        <v>6691.17</v>
      </c>
      <c r="G8" s="40">
        <v>44083.58</v>
      </c>
      <c r="I8" s="29" t="s">
        <v>125</v>
      </c>
      <c r="J8" s="40">
        <v>195217.76</v>
      </c>
      <c r="L8" s="29" t="s">
        <v>125</v>
      </c>
      <c r="M8" s="40">
        <v>195217.76</v>
      </c>
      <c r="O8" s="29" t="s">
        <v>136</v>
      </c>
      <c r="P8" s="40">
        <v>20187.509999999998</v>
      </c>
    </row>
    <row r="9" spans="1:16" x14ac:dyDescent="0.25">
      <c r="A9" s="29" t="s">
        <v>125</v>
      </c>
      <c r="B9" s="40">
        <v>28630.82</v>
      </c>
      <c r="C9" s="40">
        <v>36612.89</v>
      </c>
      <c r="D9" s="40">
        <v>41044</v>
      </c>
      <c r="E9" s="40">
        <v>41927.589999999997</v>
      </c>
      <c r="F9" s="40">
        <v>47002.460000000006</v>
      </c>
      <c r="G9" s="40">
        <v>195217.76</v>
      </c>
      <c r="O9" s="29" t="s">
        <v>140</v>
      </c>
      <c r="P9" s="40">
        <v>11609.039999999999</v>
      </c>
    </row>
    <row r="10" spans="1:16" x14ac:dyDescent="0.25">
      <c r="O10" s="29" t="s">
        <v>141</v>
      </c>
      <c r="P10" s="40">
        <v>10091.699999999999</v>
      </c>
    </row>
    <row r="11" spans="1:16" x14ac:dyDescent="0.25">
      <c r="O11" s="29" t="s">
        <v>142</v>
      </c>
      <c r="P11" s="40">
        <v>20533.499999999996</v>
      </c>
    </row>
    <row r="12" spans="1:16" x14ac:dyDescent="0.25">
      <c r="O12" s="29" t="s">
        <v>137</v>
      </c>
      <c r="P12" s="40">
        <v>14215.240000000002</v>
      </c>
    </row>
    <row r="13" spans="1:16" x14ac:dyDescent="0.25">
      <c r="O13" s="29" t="s">
        <v>138</v>
      </c>
      <c r="P13" s="40">
        <v>20135.030000000002</v>
      </c>
    </row>
    <row r="14" spans="1:16" x14ac:dyDescent="0.25">
      <c r="O14" s="29" t="s">
        <v>139</v>
      </c>
      <c r="P14" s="40">
        <v>11120.04</v>
      </c>
    </row>
    <row r="15" spans="1:16" x14ac:dyDescent="0.25">
      <c r="O15" s="29" t="s">
        <v>125</v>
      </c>
      <c r="P15" s="40">
        <v>195217.75999999995</v>
      </c>
    </row>
    <row r="24" spans="1:5" x14ac:dyDescent="0.25">
      <c r="A24" s="72" t="s">
        <v>152</v>
      </c>
      <c r="B24" s="72"/>
      <c r="D24" s="41" t="s">
        <v>151</v>
      </c>
    </row>
    <row r="25" spans="1:5" x14ac:dyDescent="0.25">
      <c r="A25" s="29" t="s">
        <v>148</v>
      </c>
      <c r="B25" s="29"/>
      <c r="D25" s="29" t="s">
        <v>149</v>
      </c>
    </row>
    <row r="26" spans="1:5" x14ac:dyDescent="0.25">
      <c r="A26" s="40">
        <v>68287.010000000009</v>
      </c>
      <c r="B26" s="29"/>
      <c r="D26" s="40">
        <v>1999</v>
      </c>
    </row>
    <row r="28" spans="1:5" x14ac:dyDescent="0.25">
      <c r="A28" s="72" t="s">
        <v>154</v>
      </c>
      <c r="B28" s="72"/>
      <c r="D28" s="72" t="s">
        <v>156</v>
      </c>
      <c r="E28" s="72"/>
    </row>
    <row r="29" spans="1:5" x14ac:dyDescent="0.25">
      <c r="A29" s="50" t="s">
        <v>153</v>
      </c>
      <c r="B29" s="29" t="s">
        <v>150</v>
      </c>
      <c r="D29" s="38" t="s">
        <v>155</v>
      </c>
      <c r="E29" s="29" t="s">
        <v>127</v>
      </c>
    </row>
    <row r="30" spans="1:5" x14ac:dyDescent="0.25">
      <c r="A30" s="29" t="s">
        <v>62</v>
      </c>
      <c r="B30" s="40">
        <v>40881.14</v>
      </c>
      <c r="D30" s="29" t="s">
        <v>30</v>
      </c>
      <c r="E30" s="40">
        <v>28630.819999999992</v>
      </c>
    </row>
    <row r="31" spans="1:5" x14ac:dyDescent="0.25">
      <c r="A31" s="29" t="s">
        <v>46</v>
      </c>
      <c r="B31" s="40">
        <v>93568.88</v>
      </c>
      <c r="D31" s="29" t="s">
        <v>18</v>
      </c>
      <c r="E31" s="40">
        <v>36612.89</v>
      </c>
    </row>
    <row r="32" spans="1:5" x14ac:dyDescent="0.25">
      <c r="A32" s="29" t="s">
        <v>47</v>
      </c>
      <c r="B32" s="40">
        <v>26809.280000000002</v>
      </c>
      <c r="D32" s="29" t="s">
        <v>12</v>
      </c>
      <c r="E32" s="40">
        <v>41044.000000000007</v>
      </c>
    </row>
    <row r="33" spans="1:5" x14ac:dyDescent="0.25">
      <c r="A33" s="29" t="s">
        <v>33</v>
      </c>
      <c r="B33" s="40">
        <v>12445.18</v>
      </c>
      <c r="D33" s="29" t="s">
        <v>6</v>
      </c>
      <c r="E33" s="40">
        <v>41927.589999999989</v>
      </c>
    </row>
    <row r="34" spans="1:5" x14ac:dyDescent="0.25">
      <c r="A34" s="29" t="s">
        <v>27</v>
      </c>
      <c r="B34" s="40">
        <v>49422.75</v>
      </c>
      <c r="D34" s="29" t="s">
        <v>3</v>
      </c>
      <c r="E34" s="40">
        <v>47002.460000000006</v>
      </c>
    </row>
    <row r="35" spans="1:5" x14ac:dyDescent="0.25">
      <c r="A35" s="29" t="s">
        <v>29</v>
      </c>
      <c r="B35" s="40">
        <v>89138.87</v>
      </c>
      <c r="D35" s="29" t="s">
        <v>125</v>
      </c>
      <c r="E35" s="40">
        <v>195217.76</v>
      </c>
    </row>
    <row r="36" spans="1:5" x14ac:dyDescent="0.25">
      <c r="A36" s="29" t="s">
        <v>57</v>
      </c>
      <c r="B36" s="40">
        <v>41542.049999999996</v>
      </c>
    </row>
    <row r="37" spans="1:5" x14ac:dyDescent="0.25">
      <c r="A37" s="29" t="s">
        <v>52</v>
      </c>
      <c r="B37" s="40">
        <v>50808.800000000003</v>
      </c>
    </row>
    <row r="38" spans="1:5" x14ac:dyDescent="0.25">
      <c r="A38" s="29" t="s">
        <v>1</v>
      </c>
      <c r="B38" s="40">
        <v>49136.74</v>
      </c>
    </row>
    <row r="39" spans="1:5" x14ac:dyDescent="0.25">
      <c r="A39" s="29" t="s">
        <v>8</v>
      </c>
      <c r="B39" s="40">
        <v>29569.46</v>
      </c>
    </row>
    <row r="40" spans="1:5" x14ac:dyDescent="0.25">
      <c r="A40" s="29" t="s">
        <v>14</v>
      </c>
      <c r="B40" s="40">
        <v>172137.03999999998</v>
      </c>
    </row>
    <row r="41" spans="1:5" x14ac:dyDescent="0.25">
      <c r="A41" s="29" t="s">
        <v>42</v>
      </c>
      <c r="B41" s="40">
        <v>17689.509999999998</v>
      </c>
    </row>
    <row r="42" spans="1:5" x14ac:dyDescent="0.25">
      <c r="A42" s="29" t="s">
        <v>41</v>
      </c>
      <c r="B42" s="40">
        <v>35746.670000000006</v>
      </c>
    </row>
    <row r="43" spans="1:5" x14ac:dyDescent="0.25">
      <c r="A43" s="29" t="s">
        <v>53</v>
      </c>
      <c r="B43" s="40">
        <v>3419.2</v>
      </c>
    </row>
    <row r="44" spans="1:5" x14ac:dyDescent="0.25">
      <c r="A44" s="29" t="s">
        <v>24</v>
      </c>
      <c r="B44" s="40">
        <v>25500.899999999998</v>
      </c>
    </row>
    <row r="45" spans="1:5" x14ac:dyDescent="0.25">
      <c r="A45" s="29" t="s">
        <v>60</v>
      </c>
      <c r="B45" s="40">
        <v>16666.18</v>
      </c>
    </row>
    <row r="46" spans="1:5" x14ac:dyDescent="0.25">
      <c r="A46" s="29" t="s">
        <v>44</v>
      </c>
      <c r="B46" s="40">
        <v>54750.54</v>
      </c>
    </row>
    <row r="47" spans="1:5" x14ac:dyDescent="0.25">
      <c r="A47" s="29" t="s">
        <v>20</v>
      </c>
      <c r="B47" s="40">
        <v>55747.070000000007</v>
      </c>
    </row>
    <row r="48" spans="1:5" x14ac:dyDescent="0.25">
      <c r="A48" s="29" t="s">
        <v>39</v>
      </c>
      <c r="B48" s="40">
        <v>70166.02</v>
      </c>
    </row>
    <row r="49" spans="1:2" x14ac:dyDescent="0.25">
      <c r="A49" s="29" t="s">
        <v>36</v>
      </c>
      <c r="B49" s="40">
        <v>72489.289999999994</v>
      </c>
    </row>
    <row r="50" spans="1:2" x14ac:dyDescent="0.25">
      <c r="A50" s="29" t="s">
        <v>22</v>
      </c>
      <c r="B50" s="40">
        <v>122113.81</v>
      </c>
    </row>
    <row r="51" spans="1:2" x14ac:dyDescent="0.25">
      <c r="A51" s="29" t="s">
        <v>38</v>
      </c>
      <c r="B51" s="40">
        <v>36139.32</v>
      </c>
    </row>
    <row r="52" spans="1:2" x14ac:dyDescent="0.25">
      <c r="A52" s="29" t="s">
        <v>50</v>
      </c>
      <c r="B52" s="40">
        <v>47841.600000000006</v>
      </c>
    </row>
    <row r="53" spans="1:2" x14ac:dyDescent="0.25">
      <c r="A53" s="29" t="s">
        <v>17</v>
      </c>
      <c r="B53" s="40">
        <v>59165.91</v>
      </c>
    </row>
    <row r="54" spans="1:2" x14ac:dyDescent="0.25">
      <c r="A54" s="29" t="s">
        <v>5</v>
      </c>
      <c r="B54" s="40">
        <v>77773.26999999999</v>
      </c>
    </row>
    <row r="55" spans="1:2" x14ac:dyDescent="0.25">
      <c r="A55" s="29" t="s">
        <v>34</v>
      </c>
      <c r="B55" s="40">
        <v>66087.509999999995</v>
      </c>
    </row>
    <row r="56" spans="1:2" x14ac:dyDescent="0.25">
      <c r="A56" s="29" t="s">
        <v>55</v>
      </c>
      <c r="B56" s="40">
        <v>41964.31</v>
      </c>
    </row>
    <row r="57" spans="1:2" x14ac:dyDescent="0.25">
      <c r="A57" s="29" t="s">
        <v>125</v>
      </c>
      <c r="B57" s="40">
        <v>1458721.3000000003</v>
      </c>
    </row>
  </sheetData>
  <mergeCells count="7">
    <mergeCell ref="L1:M1"/>
    <mergeCell ref="O1:P1"/>
    <mergeCell ref="A24:B24"/>
    <mergeCell ref="A28:B28"/>
    <mergeCell ref="D28:E28"/>
    <mergeCell ref="A1:G1"/>
    <mergeCell ref="I1:J1"/>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ANALYZER_DATA</vt:lpstr>
      <vt:lpstr>MONTHLY SALES GROWTH</vt:lpstr>
      <vt:lpstr>Descriptive Statistics</vt:lpstr>
      <vt:lpstr>Regression Statistics</vt:lpstr>
      <vt:lpstr>REGION &amp; PRODUCT SALES</vt:lpstr>
      <vt:lpstr>REGION PERFORMANCE</vt:lpstr>
      <vt:lpstr>PRODUCT PERFORMANCE</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patil</dc:creator>
  <cp:lastModifiedBy>kalpesh patil</cp:lastModifiedBy>
  <dcterms:created xsi:type="dcterms:W3CDTF">2026-09-14T05:30:21Z</dcterms:created>
  <dcterms:modified xsi:type="dcterms:W3CDTF">2026-09-21T18:41:55Z</dcterms:modified>
</cp:coreProperties>
</file>